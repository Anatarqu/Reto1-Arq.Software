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xp1" sheetId="1" state="visible" r:id="rId3"/>
    <sheet name="Fase1 Exp1" sheetId="2" state="visible" r:id="rId4"/>
    <sheet name="Fase2 Exp1" sheetId="3" state="visible" r:id="rId5"/>
    <sheet name="Resumen Exp2" sheetId="4" state="visible" r:id="rId6"/>
    <sheet name="Fase1 Exp2" sheetId="5" state="visible" r:id="rId7"/>
    <sheet name="Fase2 Exp2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<sst xmlns="http://schemas.openxmlformats.org/spreadsheetml/2006/main" count="163" uniqueCount="47">
  <si>
    <t xml:space="preserve">Experimento 1 · Amortiguación Asíncrona + Canal Transaccional Prioritario</t>
  </si>
  <si>
    <t xml:space="preserve">Escenarios de calidad: Escalabilidad (órdenes/matches por minuto, latencia de cruce) y Latencia (confirmación WebSocket p95). Datos calculados a partir de los registros reales del matching-engine y del latency-probe.</t>
  </si>
  <si>
    <t xml:space="preserve">Metrica</t>
  </si>
  <si>
    <t xml:space="preserve">Fase 1 (base)</t>
  </si>
  <si>
    <t xml:space="preserve">Fase 2 (pico)</t>
  </si>
  <si>
    <t xml:space="preserve">Meta</t>
  </si>
  <si>
    <t xml:space="preserve">Veredicto</t>
  </si>
  <si>
    <t xml:space="preserve">Ordenes entrantes / min</t>
  </si>
  <si>
    <t xml:space="preserve">absorber el pico</t>
  </si>
  <si>
    <t xml:space="preserve">Emparejamientos / min</t>
  </si>
  <si>
    <t xml:space="preserve">Latencia cruce interno, peor p95 por minuto (ms)</t>
  </si>
  <si>
    <t xml:space="preserve">Latencia confirmacion WebSocket p95 (ms)</t>
  </si>
  <si>
    <t xml:space="preserve">Muestras de confirmacion (n)</t>
  </si>
  <si>
    <t xml:space="preserve">-</t>
  </si>
  <si>
    <t xml:space="preserve">Tasa de confirmaciones (conf/s)</t>
  </si>
  <si>
    <t xml:space="preserve">Peticiones fallidas (Locust)</t>
  </si>
  <si>
    <t xml:space="preserve">No disponible en estos archivos</t>
  </si>
  <si>
    <t xml:space="preserve">0%</t>
  </si>
  <si>
    <t xml:space="preserve">N/D</t>
  </si>
  <si>
    <t xml:space="preserve">Nota: 'Peticiones fallidas', profundidad de buffer y tiempo de drenado no estaban en los archivos entregados para este experimento, así que no se reportan como CUMPLE/NO CUMPLE.</t>
  </si>
  <si>
    <t xml:space="preserve">Datos de la grafica comparativa</t>
  </si>
  <si>
    <t xml:space="preserve">Fase</t>
  </si>
  <si>
    <t xml:space="preserve">Ordenes/min</t>
  </si>
  <si>
    <t xml:space="preserve">Emparej./min</t>
  </si>
  <si>
    <t xml:space="preserve">Fase 1 - Linea base</t>
  </si>
  <si>
    <t xml:space="preserve">Fase 2 - Pico</t>
  </si>
  <si>
    <t xml:space="preserve">Experimento 1 - FASE 1 (Linea Base)</t>
  </si>
  <si>
    <t xml:space="preserve">Serie temporal minuto a minuto tomada del log real del matching-engine y del latency-probe.</t>
  </si>
  <si>
    <t xml:space="preserve">minuto</t>
  </si>
  <si>
    <t xml:space="preserve">orders_min</t>
  </si>
  <si>
    <t xml:space="preserve">matches_min</t>
  </si>
  <si>
    <t xml:space="preserve">core_p95_ms</t>
  </si>
  <si>
    <t xml:space="preserve">clasificacion</t>
  </si>
  <si>
    <t xml:space="preserve">rampa_fase1</t>
  </si>
  <si>
    <t xml:space="preserve">fase1_estable</t>
  </si>
  <si>
    <t xml:space="preserve">Latencia de confirmacion (WebSocket) - minuto propio del latency-probe, no sincronizado al reloj del motor de arriba</t>
  </si>
  <si>
    <t xml:space="preserve">minuto_probe</t>
  </si>
  <si>
    <t xml:space="preserve">n_muestras</t>
  </si>
  <si>
    <t xml:space="preserve">p95_ms</t>
  </si>
  <si>
    <t xml:space="preserve">Experimento 1 - FASE 2 (Pico de Volatilidad)</t>
  </si>
  <si>
    <t xml:space="preserve">meta_matches</t>
  </si>
  <si>
    <t xml:space="preserve">fase2_estable</t>
  </si>
  <si>
    <t xml:space="preserve">transicion</t>
  </si>
  <si>
    <t xml:space="preserve">Experimento 2 · Amortiguación Asíncrona + Canal Transaccional Prioritario</t>
  </si>
  <si>
    <t xml:space="preserve">Experimento 2 - FASE 1 (Linea Base)</t>
  </si>
  <si>
    <t xml:space="preserve">Experimento 2 - FASE 2 (Pico de Volatilidad)</t>
  </si>
  <si>
    <t xml:space="preserve">fase2_final_parcial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</si>
</sst>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6764F"/>
      <name val="Arial"/>
      <family val="0"/>
      <charset val="1"/>
    </font>
    <font>
      <sz val="10"/>
      <color rgb="FF5869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22120"/>
      <name val="Arial"/>
      <family val="0"/>
      <charset val="1"/>
    </font>
    <font>
      <sz val="10"/>
      <color rgb="FF122120"/>
      <name val="Arial"/>
      <family val="0"/>
      <charset val="1"/>
    </font>
    <font>
      <i val="true"/>
      <sz val="9"/>
      <color rgb="FF8A8A8A"/>
      <name val="Arial"/>
      <family val="0"/>
      <charset val="1"/>
    </font>
    <font>
      <i val="true"/>
      <sz val="9"/>
      <color rgb="FF5869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72C"/>
        <bgColor rgb="FF122120"/>
      </patternFill>
    </fill>
    <fill>
      <patternFill patternType="solid">
        <fgColor rgb="FFEEF3F5"/>
        <bgColor rgb="FFE1F3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6764F"/>
        <sz val="10"/>
      </font>
      <fill>
        <patternFill>
          <bgColor rgb="FFE1F3EC"/>
        </patternFill>
      </fill>
    </dxf>
    <dxf>
      <font>
        <name val="Arial"/>
        <charset val="1"/>
        <family val="0"/>
        <b val="1"/>
        <color rgb="FFB00020"/>
        <sz val="10"/>
      </font>
      <fill>
        <patternFill>
          <bgColor rgb="FFFB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6764F"/>
      <rgbColor rgb="FFC0C0C0"/>
      <rgbColor rgb="FF878787"/>
      <rgbColor rgb="FF9999FF"/>
      <rgbColor rgb="FFBE4B48"/>
      <rgbColor rgb="FFEEF3F5"/>
      <rgbColor rgb="FFE1F3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4"/>
      <rgbColor rgb="FF4A7EBB"/>
      <rgbColor rgb="FF33CCCC"/>
      <rgbColor rgb="FF99CC00"/>
      <rgbColor rgb="FFFFCC00"/>
      <rgbColor rgb="FFFF9900"/>
      <rgbColor rgb="FFFF6600"/>
      <rgbColor rgb="FF586970"/>
      <rgbColor rgb="FF8A8A8A"/>
      <rgbColor rgb="FF003366"/>
      <rgbColor rgb="FF4F81BD"/>
      <rgbColor rgb="FF122120"/>
      <rgbColor rgb="FF333300"/>
      <rgbColor rgb="FF993300"/>
      <rgbColor rgb="FFC0504D"/>
      <rgbColor rgb="FF333399"/>
      <rgbColor rgb="FF1A27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entrante vs. capacidad de proceso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Exp1'!C16</c:f>
              <c:strCache>
                <c:ptCount val="1"/>
                <c:pt idx="0">
                  <c:v>Ordenes/min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Exp1'!$B$17:$B$18</c:f>
              <c:strCache>
                <c:ptCount val="2"/>
                <c:pt idx="0">
                  <c:v>Fase 1 - Linea base</c:v>
                </c:pt>
                <c:pt idx="1">
                  <c:v>Fase 2 - Pico</c:v>
                </c:pt>
              </c:strCache>
            </c:strRef>
          </c:cat>
          <c:val>
            <c:numRef>
              <c:f>'Resumen Exp1'!$C$17:$C$18</c:f>
              <c:numCache>
                <c:formatCode>General</c:formatCode>
                <c:ptCount val="2"/>
                <c:pt idx="0">
                  <c:v>1421</c:v>
                </c:pt>
                <c:pt idx="1">
                  <c:v>8291</c:v>
                </c:pt>
              </c:numCache>
            </c:numRef>
          </c:val>
        </c:ser>
        <c:ser>
          <c:idx val="1"/>
          <c:order val="1"/>
          <c:tx>
            <c:strRef>
              <c:f>'Resumen Exp1'!D16</c:f>
              <c:strCache>
                <c:ptCount val="1"/>
                <c:pt idx="0">
                  <c:v>Emparej./min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Exp1'!$B$17:$B$18</c:f>
              <c:strCache>
                <c:ptCount val="2"/>
                <c:pt idx="0">
                  <c:v>Fase 1 - Linea base</c:v>
                </c:pt>
                <c:pt idx="1">
                  <c:v>Fase 2 - Pico</c:v>
                </c:pt>
              </c:strCache>
            </c:strRef>
          </c:cat>
          <c:val>
            <c:numRef>
              <c:f>'Resumen Exp1'!$D$17:$D$18</c:f>
              <c:numCache>
                <c:formatCode>General</c:formatCode>
                <c:ptCount val="2"/>
                <c:pt idx="0">
                  <c:v>801</c:v>
                </c:pt>
                <c:pt idx="1">
                  <c:v>4637</c:v>
                </c:pt>
              </c:numCache>
            </c:numRef>
          </c:val>
        </c:ser>
        <c:gapWidth val="150"/>
        <c:overlap val="0"/>
        <c:axId val="12284798"/>
        <c:axId val="39219833"/>
      </c:barChart>
      <c:catAx>
        <c:axId val="12284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19833"/>
        <c:crosses val="autoZero"/>
        <c:auto val="1"/>
        <c:lblAlgn val="ctr"/>
        <c:lblOffset val="100"/>
        <c:noMultiLvlLbl val="0"/>
      </c:catAx>
      <c:valAx>
        <c:axId val="39219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84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Ordenes y emparejamientos/min en el tiempo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'Fase1 Exp1'!C5</c:f>
              <c:strCache>
                <c:ptCount val="1"/>
                <c:pt idx="0">
                  <c:v>orders_min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'Fase1 Exp1'!$B$6:$B$12</c:f>
              <c:strCach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strCache>
            </c:strRef>
          </c:cat>
          <c:val>
            <c:numRef>
              <c:f>'Fase1 Exp1'!$C$6:$C$12</c:f>
              <c:numCache>
                <c:formatCode>General</c:formatCode>
                <c:ptCount val="7"/>
                <c:pt idx="0">
                  <c:v>82</c:v>
                </c:pt>
                <c:pt idx="1">
                  <c:v>1288</c:v>
                </c:pt>
                <c:pt idx="2">
                  <c:v>1326</c:v>
                </c:pt>
                <c:pt idx="3">
                  <c:v>1322</c:v>
                </c:pt>
                <c:pt idx="4">
                  <c:v>1322</c:v>
                </c:pt>
                <c:pt idx="5">
                  <c:v>1325</c:v>
                </c:pt>
                <c:pt idx="6">
                  <c:v>1945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'Fase1 Exp1'!D5</c:f>
              <c:strCache>
                <c:ptCount val="1"/>
                <c:pt idx="0">
                  <c:v>matches_min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'Fase1 Exp1'!$B$6:$B$12</c:f>
              <c:strCach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strCache>
            </c:strRef>
          </c:cat>
          <c:val>
            <c:numRef>
              <c:f>'Fase1 Exp1'!$D$6:$D$12</c:f>
              <c:numCache>
                <c:formatCode>General</c:formatCode>
                <c:ptCount val="7"/>
                <c:pt idx="0">
                  <c:v>31</c:v>
                </c:pt>
                <c:pt idx="1">
                  <c:v>714</c:v>
                </c:pt>
                <c:pt idx="2">
                  <c:v>782</c:v>
                </c:pt>
                <c:pt idx="3">
                  <c:v>702</c:v>
                </c:pt>
                <c:pt idx="4">
                  <c:v>737</c:v>
                </c:pt>
                <c:pt idx="5">
                  <c:v>757</c:v>
                </c:pt>
                <c:pt idx="6">
                  <c:v>1115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229062"/>
        <c:axId val="96849778"/>
      </c:lineChart>
      <c:catAx>
        <c:axId val="44229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49778"/>
        <c:crosses val="autoZero"/>
        <c:auto val="1"/>
        <c:lblAlgn val="ctr"/>
        <c:lblOffset val="100"/>
        <c:noMultiLvlLbl val="0"/>
      </c:catAx>
      <c:valAx>
        <c:axId val="96849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29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Latencia de confirmacion p95 por minuto (ms) - objetivo &lt;= 350ms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'Fase1 Exp1'!D15</c:f>
              <c:strCache>
                <c:ptCount val="1"/>
                <c:pt idx="0">
                  <c:v>p95_ms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'Fase1 Exp1'!$B$16:$B$24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'Fase1 Exp1'!$D$16:$D$24</c:f>
              <c:numCache>
                <c:formatCode>General</c:formatCode>
                <c:ptCount val="9"/>
                <c:pt idx="0">
                  <c:v>35.1</c:v>
                </c:pt>
                <c:pt idx="1">
                  <c:v>26.48</c:v>
                </c:pt>
                <c:pt idx="2">
                  <c:v>32.48</c:v>
                </c:pt>
                <c:pt idx="3">
                  <c:v>31.26</c:v>
                </c:pt>
                <c:pt idx="4">
                  <c:v>25.25</c:v>
                </c:pt>
                <c:pt idx="5">
                  <c:v>27.79</c:v>
                </c:pt>
                <c:pt idx="6">
                  <c:v>25</c:v>
                </c:pt>
                <c:pt idx="7">
                  <c:v>16.39</c:v>
                </c:pt>
                <c:pt idx="8">
                  <c:v>15.19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00561"/>
        <c:axId val="47010043"/>
      </c:lineChart>
      <c:catAx>
        <c:axId val="80000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10043"/>
        <c:crosses val="autoZero"/>
        <c:auto val="1"/>
        <c:lblAlgn val="ctr"/>
        <c:lblOffset val="100"/>
        <c:noMultiLvlLbl val="0"/>
      </c:catAx>
      <c:valAx>
        <c:axId val="47010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05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Ordenes y emparejamientos/min en el tiempo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'Fase2 Exp1'!C5</c:f>
              <c:strCache>
                <c:ptCount val="1"/>
                <c:pt idx="0">
                  <c:v>orders_min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'Fase2 Exp1'!$B$6:$B$29</c:f>
              <c:strCache>
                <c:ptCount val="24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</c:strCache>
            </c:strRef>
          </c:cat>
          <c:val>
            <c:numRef>
              <c:f>'Fase2 Exp1'!$C$6:$C$29</c:f>
              <c:numCache>
                <c:formatCode>General</c:formatCode>
                <c:ptCount val="24"/>
                <c:pt idx="0">
                  <c:v>8293</c:v>
                </c:pt>
                <c:pt idx="1">
                  <c:v>8305</c:v>
                </c:pt>
                <c:pt idx="2">
                  <c:v>8296</c:v>
                </c:pt>
                <c:pt idx="3">
                  <c:v>8270</c:v>
                </c:pt>
                <c:pt idx="4">
                  <c:v>8278</c:v>
                </c:pt>
                <c:pt idx="5">
                  <c:v>8289</c:v>
                </c:pt>
                <c:pt idx="6">
                  <c:v>8291</c:v>
                </c:pt>
                <c:pt idx="7">
                  <c:v>8279</c:v>
                </c:pt>
                <c:pt idx="8">
                  <c:v>8288</c:v>
                </c:pt>
                <c:pt idx="9">
                  <c:v>8298</c:v>
                </c:pt>
                <c:pt idx="10">
                  <c:v>8283</c:v>
                </c:pt>
                <c:pt idx="11">
                  <c:v>8275</c:v>
                </c:pt>
                <c:pt idx="12">
                  <c:v>8317</c:v>
                </c:pt>
                <c:pt idx="13">
                  <c:v>8297</c:v>
                </c:pt>
                <c:pt idx="14">
                  <c:v>8273</c:v>
                </c:pt>
                <c:pt idx="15">
                  <c:v>8303</c:v>
                </c:pt>
                <c:pt idx="16">
                  <c:v>8285</c:v>
                </c:pt>
                <c:pt idx="17">
                  <c:v>8299</c:v>
                </c:pt>
                <c:pt idx="18">
                  <c:v>8293</c:v>
                </c:pt>
                <c:pt idx="19">
                  <c:v>8306</c:v>
                </c:pt>
                <c:pt idx="20">
                  <c:v>8290</c:v>
                </c:pt>
                <c:pt idx="21">
                  <c:v>8291</c:v>
                </c:pt>
                <c:pt idx="22">
                  <c:v>8302</c:v>
                </c:pt>
                <c:pt idx="23">
                  <c:v>3934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'Fase2 Exp1'!D5</c:f>
              <c:strCache>
                <c:ptCount val="1"/>
                <c:pt idx="0">
                  <c:v>matches_min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'Fase2 Exp1'!$B$6:$B$29</c:f>
              <c:strCache>
                <c:ptCount val="24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</c:strCache>
            </c:strRef>
          </c:cat>
          <c:val>
            <c:numRef>
              <c:f>'Fase2 Exp1'!$D$6:$D$29</c:f>
              <c:numCache>
                <c:formatCode>General</c:formatCode>
                <c:ptCount val="24"/>
                <c:pt idx="0">
                  <c:v>4635</c:v>
                </c:pt>
                <c:pt idx="1">
                  <c:v>4629</c:v>
                </c:pt>
                <c:pt idx="2">
                  <c:v>4553</c:v>
                </c:pt>
                <c:pt idx="3">
                  <c:v>4768</c:v>
                </c:pt>
                <c:pt idx="4">
                  <c:v>4556</c:v>
                </c:pt>
                <c:pt idx="5">
                  <c:v>4629</c:v>
                </c:pt>
                <c:pt idx="6">
                  <c:v>4608</c:v>
                </c:pt>
                <c:pt idx="7">
                  <c:v>4666</c:v>
                </c:pt>
                <c:pt idx="8">
                  <c:v>4660</c:v>
                </c:pt>
                <c:pt idx="9">
                  <c:v>4556</c:v>
                </c:pt>
                <c:pt idx="10">
                  <c:v>4743</c:v>
                </c:pt>
                <c:pt idx="11">
                  <c:v>4647</c:v>
                </c:pt>
                <c:pt idx="12">
                  <c:v>4534</c:v>
                </c:pt>
                <c:pt idx="13">
                  <c:v>4695</c:v>
                </c:pt>
                <c:pt idx="14">
                  <c:v>4708</c:v>
                </c:pt>
                <c:pt idx="15">
                  <c:v>4766</c:v>
                </c:pt>
                <c:pt idx="16">
                  <c:v>4542</c:v>
                </c:pt>
                <c:pt idx="17">
                  <c:v>4662</c:v>
                </c:pt>
                <c:pt idx="18">
                  <c:v>4677</c:v>
                </c:pt>
                <c:pt idx="19">
                  <c:v>4652</c:v>
                </c:pt>
                <c:pt idx="20">
                  <c:v>4544</c:v>
                </c:pt>
                <c:pt idx="21">
                  <c:v>4616</c:v>
                </c:pt>
                <c:pt idx="22">
                  <c:v>4606</c:v>
                </c:pt>
                <c:pt idx="23">
                  <c:v>2286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390351"/>
        <c:axId val="32660638"/>
      </c:lineChart>
      <c:catAx>
        <c:axId val="3339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60638"/>
        <c:crosses val="autoZero"/>
        <c:auto val="1"/>
        <c:lblAlgn val="ctr"/>
        <c:lblOffset val="100"/>
        <c:noMultiLvlLbl val="0"/>
      </c:catAx>
      <c:valAx>
        <c:axId val="32660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90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Latencia de confirmacion p95 por minuto (ms) - objetivo &lt;= 350ms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'Fase2 Exp1'!D32</c:f>
              <c:strCache>
                <c:ptCount val="1"/>
                <c:pt idx="0">
                  <c:v>p95_ms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'Fase2 Exp1'!$B$33:$B$63</c:f>
              <c:strCache>
                <c:ptCount val="31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</c:strCache>
            </c:strRef>
          </c:cat>
          <c:val>
            <c:numRef>
              <c:f>'Fase2 Exp1'!$D$33:$D$63</c:f>
              <c:numCache>
                <c:formatCode>General</c:formatCode>
                <c:ptCount val="31"/>
                <c:pt idx="0">
                  <c:v>15.85</c:v>
                </c:pt>
                <c:pt idx="1">
                  <c:v>15.4</c:v>
                </c:pt>
                <c:pt idx="2">
                  <c:v>16.81</c:v>
                </c:pt>
                <c:pt idx="3">
                  <c:v>15.86</c:v>
                </c:pt>
                <c:pt idx="4">
                  <c:v>14.92</c:v>
                </c:pt>
                <c:pt idx="5">
                  <c:v>15.72</c:v>
                </c:pt>
                <c:pt idx="6">
                  <c:v>14.42</c:v>
                </c:pt>
                <c:pt idx="7">
                  <c:v>14.99</c:v>
                </c:pt>
                <c:pt idx="8">
                  <c:v>15.37</c:v>
                </c:pt>
                <c:pt idx="9">
                  <c:v>13.4</c:v>
                </c:pt>
                <c:pt idx="10">
                  <c:v>14.36</c:v>
                </c:pt>
                <c:pt idx="11">
                  <c:v>13.26</c:v>
                </c:pt>
                <c:pt idx="12">
                  <c:v>15.81</c:v>
                </c:pt>
                <c:pt idx="13">
                  <c:v>14.77</c:v>
                </c:pt>
                <c:pt idx="14">
                  <c:v>13.95</c:v>
                </c:pt>
                <c:pt idx="15">
                  <c:v>13.12</c:v>
                </c:pt>
                <c:pt idx="16">
                  <c:v>13.08</c:v>
                </c:pt>
                <c:pt idx="17">
                  <c:v>12.51</c:v>
                </c:pt>
                <c:pt idx="18">
                  <c:v>11.51</c:v>
                </c:pt>
                <c:pt idx="19">
                  <c:v>11.56</c:v>
                </c:pt>
                <c:pt idx="20">
                  <c:v>14.22</c:v>
                </c:pt>
                <c:pt idx="21">
                  <c:v>22.76</c:v>
                </c:pt>
                <c:pt idx="22">
                  <c:v>15.63</c:v>
                </c:pt>
                <c:pt idx="23">
                  <c:v>13.49</c:v>
                </c:pt>
                <c:pt idx="24">
                  <c:v>17.53</c:v>
                </c:pt>
                <c:pt idx="25">
                  <c:v>14.34</c:v>
                </c:pt>
                <c:pt idx="26">
                  <c:v>25.91</c:v>
                </c:pt>
                <c:pt idx="27">
                  <c:v>14.71</c:v>
                </c:pt>
                <c:pt idx="28">
                  <c:v>13.32</c:v>
                </c:pt>
                <c:pt idx="29">
                  <c:v>18.11</c:v>
                </c:pt>
                <c:pt idx="30">
                  <c:v>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581281"/>
        <c:axId val="89294733"/>
      </c:lineChart>
      <c:catAx>
        <c:axId val="645812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94733"/>
        <c:crosses val="autoZero"/>
        <c:auto val="1"/>
        <c:lblAlgn val="ctr"/>
        <c:lblOffset val="100"/>
        <c:noMultiLvlLbl val="0"/>
      </c:catAx>
      <c:valAx>
        <c:axId val="89294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812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entrante vs. capacidad de proceso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'Resumen Exp2'!C16</c:f>
              <c:strCache>
                <c:ptCount val="1"/>
                <c:pt idx="0">
                  <c:v>Ordenes/min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Exp2'!$B$17:$B$18</c:f>
              <c:strCache>
                <c:ptCount val="2"/>
                <c:pt idx="0">
                  <c:v>Fase 1 - Linea base</c:v>
                </c:pt>
                <c:pt idx="1">
                  <c:v>Fase 2 - Pico</c:v>
                </c:pt>
              </c:strCache>
            </c:strRef>
          </c:cat>
          <c:val>
            <c:numRef>
              <c:f>'Resumen Exp2'!$C$17:$C$18</c:f>
              <c:numCache>
                <c:formatCode>General</c:formatCode>
                <c:ptCount val="2"/>
                <c:pt idx="0">
                  <c:v>1328</c:v>
                </c:pt>
                <c:pt idx="1">
                  <c:v>8230</c:v>
                </c:pt>
              </c:numCache>
            </c:numRef>
          </c:val>
        </c:ser>
        <c:ser>
          <c:idx val="1"/>
          <c:order val="1"/>
          <c:tx>
            <c:strRef>
              <c:f>'Resumen Exp2'!D16</c:f>
              <c:strCache>
                <c:ptCount val="1"/>
                <c:pt idx="0">
                  <c:v>Emparej./min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Exp2'!$B$17:$B$18</c:f>
              <c:strCache>
                <c:ptCount val="2"/>
                <c:pt idx="0">
                  <c:v>Fase 1 - Linea base</c:v>
                </c:pt>
                <c:pt idx="1">
                  <c:v>Fase 2 - Pico</c:v>
                </c:pt>
              </c:strCache>
            </c:strRef>
          </c:cat>
          <c:val>
            <c:numRef>
              <c:f>'Resumen Exp2'!$D$17:$D$18</c:f>
              <c:numCache>
                <c:formatCode>General</c:formatCode>
                <c:ptCount val="2"/>
                <c:pt idx="0">
                  <c:v>736</c:v>
                </c:pt>
                <c:pt idx="1">
                  <c:v>4604</c:v>
                </c:pt>
              </c:numCache>
            </c:numRef>
          </c:val>
        </c:ser>
        <c:gapWidth val="150"/>
        <c:overlap val="0"/>
        <c:axId val="66117048"/>
        <c:axId val="11485639"/>
      </c:barChart>
      <c:catAx>
        <c:axId val="6611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5639"/>
        <c:crosses val="autoZero"/>
        <c:auto val="1"/>
        <c:lblAlgn val="ctr"/>
        <c:lblOffset val="100"/>
        <c:noMultiLvlLbl val="0"/>
      </c:catAx>
      <c:valAx>
        <c:axId val="11485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170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Ordenes y emparejamientos/min en el tiempo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'Fase1 Exp2'!C5</c:f>
              <c:strCache>
                <c:ptCount val="1"/>
                <c:pt idx="0">
                  <c:v>orders_min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'Fase1 Exp2'!$B$6:$B$12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strCache>
            </c:strRef>
          </c:cat>
          <c:val>
            <c:numRef>
              <c:f>'Fase1 Exp2'!$C$6:$C$12</c:f>
              <c:numCache>
                <c:formatCode>General</c:formatCode>
                <c:ptCount val="7"/>
                <c:pt idx="0">
                  <c:v>242</c:v>
                </c:pt>
                <c:pt idx="1">
                  <c:v>1326</c:v>
                </c:pt>
                <c:pt idx="2">
                  <c:v>1333</c:v>
                </c:pt>
                <c:pt idx="3">
                  <c:v>1325</c:v>
                </c:pt>
                <c:pt idx="4">
                  <c:v>1332</c:v>
                </c:pt>
                <c:pt idx="5">
                  <c:v>1327</c:v>
                </c:pt>
                <c:pt idx="6">
                  <c:v>1324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'Fase1 Exp2'!D5</c:f>
              <c:strCache>
                <c:ptCount val="1"/>
                <c:pt idx="0">
                  <c:v>matches_min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'Fase1 Exp2'!$B$6:$B$12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strCache>
            </c:strRef>
          </c:cat>
          <c:val>
            <c:numRef>
              <c:f>'Fase1 Exp2'!$D$6:$D$12</c:f>
              <c:numCache>
                <c:formatCode>General</c:formatCode>
                <c:ptCount val="7"/>
                <c:pt idx="0">
                  <c:v>112</c:v>
                </c:pt>
                <c:pt idx="1">
                  <c:v>728</c:v>
                </c:pt>
                <c:pt idx="2">
                  <c:v>757</c:v>
                </c:pt>
                <c:pt idx="3">
                  <c:v>748</c:v>
                </c:pt>
                <c:pt idx="4">
                  <c:v>732</c:v>
                </c:pt>
                <c:pt idx="5">
                  <c:v>726</c:v>
                </c:pt>
                <c:pt idx="6">
                  <c:v>728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161259"/>
        <c:axId val="45043499"/>
      </c:lineChart>
      <c:catAx>
        <c:axId val="47161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43499"/>
        <c:crosses val="autoZero"/>
        <c:auto val="1"/>
        <c:lblAlgn val="ctr"/>
        <c:lblOffset val="100"/>
        <c:noMultiLvlLbl val="0"/>
      </c:catAx>
      <c:valAx>
        <c:axId val="45043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61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Latencia de confirmacion p95 por minuto (ms) - objetivo &lt;= 350ms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'Fase1 Exp2'!D15</c:f>
              <c:strCache>
                <c:ptCount val="1"/>
                <c:pt idx="0">
                  <c:v>p95_ms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'Fase1 Exp2'!$B$16:$B$25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'Fase1 Exp2'!$D$16:$D$25</c:f>
              <c:numCache>
                <c:formatCode>General</c:formatCode>
                <c:ptCount val="10"/>
                <c:pt idx="0">
                  <c:v>5.38</c:v>
                </c:pt>
                <c:pt idx="1">
                  <c:v>5.48</c:v>
                </c:pt>
                <c:pt idx="2">
                  <c:v>5.52</c:v>
                </c:pt>
                <c:pt idx="3">
                  <c:v>5.19</c:v>
                </c:pt>
                <c:pt idx="4">
                  <c:v>5.97</c:v>
                </c:pt>
                <c:pt idx="5">
                  <c:v>6.44</c:v>
                </c:pt>
                <c:pt idx="6">
                  <c:v>6.61</c:v>
                </c:pt>
                <c:pt idx="7">
                  <c:v>6.85</c:v>
                </c:pt>
                <c:pt idx="8">
                  <c:v>7.29</c:v>
                </c:pt>
                <c:pt idx="9">
                  <c:v>6.87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252258"/>
        <c:axId val="51897546"/>
      </c:lineChart>
      <c:catAx>
        <c:axId val="86252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97546"/>
        <c:crosses val="autoZero"/>
        <c:auto val="1"/>
        <c:lblAlgn val="ctr"/>
        <c:lblOffset val="100"/>
        <c:noMultiLvlLbl val="0"/>
      </c:catAx>
      <c:valAx>
        <c:axId val="51897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52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Ordenes y emparejamientos/min en el tiempo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'Fase2 Exp2'!C5</c:f>
              <c:strCache>
                <c:ptCount val="1"/>
                <c:pt idx="0">
                  <c:v>orders_min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'Fase2 Exp2'!$B$6:$B$28</c:f>
              <c:strCache>
                <c:ptCount val="2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strCache>
            </c:strRef>
          </c:cat>
          <c:val>
            <c:numRef>
              <c:f>'Fase2 Exp2'!$C$6:$C$28</c:f>
              <c:numCache>
                <c:formatCode>General</c:formatCode>
                <c:ptCount val="23"/>
                <c:pt idx="0">
                  <c:v>5130</c:v>
                </c:pt>
                <c:pt idx="1">
                  <c:v>8321</c:v>
                </c:pt>
                <c:pt idx="2">
                  <c:v>8300</c:v>
                </c:pt>
                <c:pt idx="3">
                  <c:v>8321</c:v>
                </c:pt>
                <c:pt idx="4">
                  <c:v>8304</c:v>
                </c:pt>
                <c:pt idx="5">
                  <c:v>8316</c:v>
                </c:pt>
                <c:pt idx="6">
                  <c:v>8303</c:v>
                </c:pt>
                <c:pt idx="7">
                  <c:v>8310</c:v>
                </c:pt>
                <c:pt idx="8">
                  <c:v>8309</c:v>
                </c:pt>
                <c:pt idx="9">
                  <c:v>8330</c:v>
                </c:pt>
                <c:pt idx="10">
                  <c:v>8293</c:v>
                </c:pt>
                <c:pt idx="11">
                  <c:v>8311</c:v>
                </c:pt>
                <c:pt idx="12">
                  <c:v>8313</c:v>
                </c:pt>
                <c:pt idx="13">
                  <c:v>8308</c:v>
                </c:pt>
                <c:pt idx="14">
                  <c:v>8312</c:v>
                </c:pt>
                <c:pt idx="15">
                  <c:v>8306</c:v>
                </c:pt>
                <c:pt idx="16">
                  <c:v>8308</c:v>
                </c:pt>
                <c:pt idx="17">
                  <c:v>8312</c:v>
                </c:pt>
                <c:pt idx="18">
                  <c:v>8310</c:v>
                </c:pt>
                <c:pt idx="19">
                  <c:v>8313</c:v>
                </c:pt>
                <c:pt idx="20">
                  <c:v>8311</c:v>
                </c:pt>
                <c:pt idx="21">
                  <c:v>6695</c:v>
                </c:pt>
                <c:pt idx="22">
                  <c:v>8152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'Fase2 Exp2'!D5</c:f>
              <c:strCache>
                <c:ptCount val="1"/>
                <c:pt idx="0">
                  <c:v>matches_min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'Fase2 Exp2'!$B$6:$B$28</c:f>
              <c:strCache>
                <c:ptCount val="2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strCache>
            </c:strRef>
          </c:cat>
          <c:val>
            <c:numRef>
              <c:f>'Fase2 Exp2'!$D$6:$D$28</c:f>
              <c:numCache>
                <c:formatCode>General</c:formatCode>
                <c:ptCount val="23"/>
                <c:pt idx="0">
                  <c:v>2943</c:v>
                </c:pt>
                <c:pt idx="1">
                  <c:v>4643</c:v>
                </c:pt>
                <c:pt idx="2">
                  <c:v>4703</c:v>
                </c:pt>
                <c:pt idx="3">
                  <c:v>4668</c:v>
                </c:pt>
                <c:pt idx="4">
                  <c:v>4548</c:v>
                </c:pt>
                <c:pt idx="5">
                  <c:v>4721</c:v>
                </c:pt>
                <c:pt idx="6">
                  <c:v>4759</c:v>
                </c:pt>
                <c:pt idx="7">
                  <c:v>4684</c:v>
                </c:pt>
                <c:pt idx="8">
                  <c:v>4612</c:v>
                </c:pt>
                <c:pt idx="9">
                  <c:v>4682</c:v>
                </c:pt>
                <c:pt idx="10">
                  <c:v>4777</c:v>
                </c:pt>
                <c:pt idx="11">
                  <c:v>4573</c:v>
                </c:pt>
                <c:pt idx="12">
                  <c:v>4594</c:v>
                </c:pt>
                <c:pt idx="13">
                  <c:v>4680</c:v>
                </c:pt>
                <c:pt idx="14">
                  <c:v>4548</c:v>
                </c:pt>
                <c:pt idx="15">
                  <c:v>4670</c:v>
                </c:pt>
                <c:pt idx="16">
                  <c:v>4633</c:v>
                </c:pt>
                <c:pt idx="17">
                  <c:v>4596</c:v>
                </c:pt>
                <c:pt idx="18">
                  <c:v>4589</c:v>
                </c:pt>
                <c:pt idx="19">
                  <c:v>4729</c:v>
                </c:pt>
                <c:pt idx="20">
                  <c:v>4623</c:v>
                </c:pt>
                <c:pt idx="21">
                  <c:v>3729</c:v>
                </c:pt>
                <c:pt idx="22">
                  <c:v>4524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62401"/>
        <c:axId val="78647709"/>
      </c:lineChart>
      <c:catAx>
        <c:axId val="6162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47709"/>
        <c:crosses val="autoZero"/>
        <c:auto val="1"/>
        <c:lblAlgn val="ctr"/>
        <c:lblOffset val="100"/>
        <c:noMultiLvlLbl val="0"/>
      </c:catAx>
      <c:valAx>
        <c:axId val="78647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2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Latencia de confirmacion p95 por minuto (ms) - objetivo &lt;= 350ms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'Fase2 Exp2'!D31</c:f>
              <c:strCache>
                <c:ptCount val="1"/>
                <c:pt idx="0">
                  <c:v>p95_ms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'Fase2 Exp2'!$B$32:$B$51</c:f>
              <c:strCache>
                <c:ptCount val="20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46</c:v>
                </c:pt>
              </c:strCache>
            </c:strRef>
          </c:cat>
          <c:val>
            <c:numRef>
              <c:f>'Fase2 Exp2'!$D$32:$D$51</c:f>
              <c:numCache>
                <c:formatCode>General</c:formatCode>
                <c:ptCount val="20"/>
                <c:pt idx="0">
                  <c:v>6.75</c:v>
                </c:pt>
                <c:pt idx="1">
                  <c:v>6.61</c:v>
                </c:pt>
                <c:pt idx="2">
                  <c:v>6.84</c:v>
                </c:pt>
                <c:pt idx="3">
                  <c:v>6.91</c:v>
                </c:pt>
                <c:pt idx="4">
                  <c:v>6.55</c:v>
                </c:pt>
                <c:pt idx="5">
                  <c:v>6.9</c:v>
                </c:pt>
                <c:pt idx="6">
                  <c:v>6.86</c:v>
                </c:pt>
                <c:pt idx="7">
                  <c:v>6.71</c:v>
                </c:pt>
                <c:pt idx="8">
                  <c:v>6.62</c:v>
                </c:pt>
                <c:pt idx="9">
                  <c:v>6.5</c:v>
                </c:pt>
                <c:pt idx="10">
                  <c:v>6.6</c:v>
                </c:pt>
                <c:pt idx="11">
                  <c:v>6.41</c:v>
                </c:pt>
                <c:pt idx="12">
                  <c:v>6.3</c:v>
                </c:pt>
                <c:pt idx="13">
                  <c:v>6.76</c:v>
                </c:pt>
                <c:pt idx="14">
                  <c:v>6.39</c:v>
                </c:pt>
                <c:pt idx="15">
                  <c:v>6.3</c:v>
                </c:pt>
                <c:pt idx="16">
                  <c:v>6.36</c:v>
                </c:pt>
                <c:pt idx="17">
                  <c:v>6.27</c:v>
                </c:pt>
                <c:pt idx="18">
                  <c:v>6.47</c:v>
                </c:pt>
                <c:pt idx="19">
                  <c:v>249.65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817870"/>
        <c:axId val="67238493"/>
      </c:lineChart>
      <c:catAx>
        <c:axId val="868178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38493"/>
        <c:crosses val="autoZero"/>
        <c:auto val="1"/>
        <c:lblAlgn val="ctr"/>
        <c:lblOffset val="100"/>
        <c:noMultiLvlLbl val="0"/>
      </c:catAx>
      <c:valAx>
        <c:axId val="672384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17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145440</xdr:rowOff>
    </xdr:from>
    <xdr:to>
      <xdr:col>16</xdr:col>
      <xdr:colOff>256320</xdr:colOff>
      <xdr:row>18</xdr:row>
      <xdr:rowOff>167760</xdr:rowOff>
    </xdr:to>
    <xdr:graphicFrame>
      <xdr:nvGraphicFramePr>
        <xdr:cNvPr id="0" name="Chart 1"/>
        <xdr:cNvGraphicFramePr/>
      </xdr:nvGraphicFramePr>
      <xdr:xfrm>
        <a:off x="843552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145440</xdr:rowOff>
    </xdr:from>
    <xdr:to>
      <xdr:col>18</xdr:col>
      <xdr:colOff>4680</xdr:colOff>
      <xdr:row>18</xdr:row>
      <xdr:rowOff>167760</xdr:rowOff>
    </xdr:to>
    <xdr:graphicFrame>
      <xdr:nvGraphicFramePr>
        <xdr:cNvPr id="1" name="Chart 1"/>
        <xdr:cNvGraphicFramePr/>
      </xdr:nvGraphicFramePr>
      <xdr:xfrm>
        <a:off x="6673320" y="762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13</xdr:row>
      <xdr:rowOff>145440</xdr:rowOff>
    </xdr:from>
    <xdr:to>
      <xdr:col>18</xdr:col>
      <xdr:colOff>4680</xdr:colOff>
      <xdr:row>28</xdr:row>
      <xdr:rowOff>167400</xdr:rowOff>
    </xdr:to>
    <xdr:graphicFrame>
      <xdr:nvGraphicFramePr>
        <xdr:cNvPr id="2" name="Chart 2"/>
        <xdr:cNvGraphicFramePr/>
      </xdr:nvGraphicFramePr>
      <xdr:xfrm>
        <a:off x="6673320" y="2666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145440</xdr:rowOff>
    </xdr:from>
    <xdr:to>
      <xdr:col>18</xdr:col>
      <xdr:colOff>4680</xdr:colOff>
      <xdr:row>18</xdr:row>
      <xdr:rowOff>167760</xdr:rowOff>
    </xdr:to>
    <xdr:graphicFrame>
      <xdr:nvGraphicFramePr>
        <xdr:cNvPr id="3" name="Chart 1"/>
        <xdr:cNvGraphicFramePr/>
      </xdr:nvGraphicFramePr>
      <xdr:xfrm>
        <a:off x="6673320" y="762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30</xdr:row>
      <xdr:rowOff>145440</xdr:rowOff>
    </xdr:from>
    <xdr:to>
      <xdr:col>18</xdr:col>
      <xdr:colOff>4680</xdr:colOff>
      <xdr:row>45</xdr:row>
      <xdr:rowOff>167400</xdr:rowOff>
    </xdr:to>
    <xdr:graphicFrame>
      <xdr:nvGraphicFramePr>
        <xdr:cNvPr id="4" name="Chart 2"/>
        <xdr:cNvGraphicFramePr/>
      </xdr:nvGraphicFramePr>
      <xdr:xfrm>
        <a:off x="6673320" y="5905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145440</xdr:rowOff>
    </xdr:from>
    <xdr:to>
      <xdr:col>16</xdr:col>
      <xdr:colOff>256320</xdr:colOff>
      <xdr:row>18</xdr:row>
      <xdr:rowOff>167760</xdr:rowOff>
    </xdr:to>
    <xdr:graphicFrame>
      <xdr:nvGraphicFramePr>
        <xdr:cNvPr id="5" name="Chart 1"/>
        <xdr:cNvGraphicFramePr/>
      </xdr:nvGraphicFramePr>
      <xdr:xfrm>
        <a:off x="843552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145440</xdr:rowOff>
    </xdr:from>
    <xdr:to>
      <xdr:col>18</xdr:col>
      <xdr:colOff>4680</xdr:colOff>
      <xdr:row>18</xdr:row>
      <xdr:rowOff>167760</xdr:rowOff>
    </xdr:to>
    <xdr:graphicFrame>
      <xdr:nvGraphicFramePr>
        <xdr:cNvPr id="6" name="Chart 1"/>
        <xdr:cNvGraphicFramePr/>
      </xdr:nvGraphicFramePr>
      <xdr:xfrm>
        <a:off x="6673320" y="762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13</xdr:row>
      <xdr:rowOff>145440</xdr:rowOff>
    </xdr:from>
    <xdr:to>
      <xdr:col>18</xdr:col>
      <xdr:colOff>4680</xdr:colOff>
      <xdr:row>28</xdr:row>
      <xdr:rowOff>167400</xdr:rowOff>
    </xdr:to>
    <xdr:graphicFrame>
      <xdr:nvGraphicFramePr>
        <xdr:cNvPr id="7" name="Chart 2"/>
        <xdr:cNvGraphicFramePr/>
      </xdr:nvGraphicFramePr>
      <xdr:xfrm>
        <a:off x="6673320" y="2666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145440</xdr:rowOff>
    </xdr:from>
    <xdr:to>
      <xdr:col>18</xdr:col>
      <xdr:colOff>4680</xdr:colOff>
      <xdr:row>18</xdr:row>
      <xdr:rowOff>167760</xdr:rowOff>
    </xdr:to>
    <xdr:graphicFrame>
      <xdr:nvGraphicFramePr>
        <xdr:cNvPr id="8" name="Chart 1"/>
        <xdr:cNvGraphicFramePr/>
      </xdr:nvGraphicFramePr>
      <xdr:xfrm>
        <a:off x="6673320" y="762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145440</xdr:rowOff>
    </xdr:from>
    <xdr:to>
      <xdr:col>18</xdr:col>
      <xdr:colOff>4680</xdr:colOff>
      <xdr:row>44</xdr:row>
      <xdr:rowOff>167400</xdr:rowOff>
    </xdr:to>
    <xdr:graphicFrame>
      <xdr:nvGraphicFramePr>
        <xdr:cNvPr id="9" name="Chart 2"/>
        <xdr:cNvGraphicFramePr/>
      </xdr:nvGraphicFramePr>
      <xdr:xfrm>
        <a:off x="6673320" y="571500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2" customFormat="false" ht="18.5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customFormat="false" ht="15" hidden="false" customHeight="false" outlineLevel="0" collapsed="false">
      <c r="B6" s="5" t="s">
        <v>7</v>
      </c>
      <c r="C6" s="6" t="n">
        <v>1421</v>
      </c>
      <c r="D6" s="6" t="n">
        <v>8291</v>
      </c>
      <c r="E6" s="6" t="s">
        <v>8</v>
      </c>
    </row>
    <row r="7" customFormat="false" ht="15" hidden="false" customHeight="false" outlineLevel="0" collapsed="false">
      <c r="B7" s="7" t="s">
        <v>9</v>
      </c>
      <c r="C7" s="8" t="n">
        <v>801</v>
      </c>
      <c r="D7" s="8" t="n">
        <v>4637</v>
      </c>
      <c r="E7" s="8" t="n">
        <v>5000</v>
      </c>
      <c r="F7" s="0" t="str">
        <f aca="false">IF(D7&gt;=E7,"CUMPLE","NO CUMPLE")</f>
        <v>NO CUMPLE</v>
      </c>
    </row>
    <row r="8" customFormat="false" ht="15" hidden="false" customHeight="false" outlineLevel="0" collapsed="false">
      <c r="B8" s="5" t="s">
        <v>10</v>
      </c>
      <c r="C8" s="6" t="n">
        <v>0.048</v>
      </c>
      <c r="D8" s="6" t="n">
        <v>0.035</v>
      </c>
      <c r="E8" s="6" t="n">
        <v>200</v>
      </c>
      <c r="F8" s="0" t="str">
        <f aca="false">IF(D8&lt;=E8,"CUMPLE","NO CUMPLE")</f>
        <v>CUMPLE</v>
      </c>
    </row>
    <row r="9" customFormat="false" ht="15" hidden="false" customHeight="false" outlineLevel="0" collapsed="false">
      <c r="B9" s="7" t="s">
        <v>11</v>
      </c>
      <c r="C9" s="8" t="n">
        <v>20.36</v>
      </c>
      <c r="D9" s="8" t="n">
        <v>14.82</v>
      </c>
      <c r="E9" s="8" t="n">
        <v>350</v>
      </c>
      <c r="F9" s="0" t="str">
        <f aca="false">IF(D9&lt;=E9,"CUMPLE","NO CUMPLE")</f>
        <v>CUMPLE</v>
      </c>
    </row>
    <row r="10" customFormat="false" ht="15" hidden="false" customHeight="false" outlineLevel="0" collapsed="false">
      <c r="B10" s="5" t="s">
        <v>12</v>
      </c>
      <c r="C10" s="6" t="n">
        <v>29898</v>
      </c>
      <c r="D10" s="6" t="n">
        <v>255708</v>
      </c>
      <c r="E10" s="6" t="s">
        <v>13</v>
      </c>
    </row>
    <row r="11" customFormat="false" ht="15" hidden="false" customHeight="false" outlineLevel="0" collapsed="false">
      <c r="B11" s="7" t="s">
        <v>14</v>
      </c>
      <c r="C11" s="8" t="n">
        <v>49.8</v>
      </c>
      <c r="D11" s="8" t="n">
        <v>142.1</v>
      </c>
      <c r="E11" s="8" t="s">
        <v>13</v>
      </c>
    </row>
    <row r="12" customFormat="false" ht="15" hidden="false" customHeight="false" outlineLevel="0" collapsed="false">
      <c r="B12" s="5" t="s">
        <v>15</v>
      </c>
      <c r="C12" s="6" t="s">
        <v>16</v>
      </c>
      <c r="D12" s="6" t="s">
        <v>16</v>
      </c>
      <c r="E12" s="6" t="s">
        <v>17</v>
      </c>
      <c r="F12" s="9" t="s">
        <v>18</v>
      </c>
    </row>
    <row r="14" customFormat="false" ht="15" hidden="false" customHeight="false" outlineLevel="0" collapsed="false">
      <c r="B14" s="10" t="s">
        <v>19</v>
      </c>
      <c r="C14" s="10"/>
      <c r="D14" s="10"/>
      <c r="E14" s="10"/>
      <c r="F14" s="10"/>
      <c r="G14" s="10"/>
    </row>
    <row r="15" customFormat="false" ht="15" hidden="false" customHeight="false" outlineLevel="0" collapsed="false">
      <c r="B15" s="5" t="s">
        <v>20</v>
      </c>
    </row>
    <row r="16" customFormat="false" ht="15" hidden="false" customHeight="false" outlineLevel="0" collapsed="false">
      <c r="B16" s="3" t="s">
        <v>21</v>
      </c>
      <c r="C16" s="4" t="s">
        <v>22</v>
      </c>
      <c r="D16" s="4" t="s">
        <v>23</v>
      </c>
    </row>
    <row r="17" customFormat="false" ht="15" hidden="false" customHeight="false" outlineLevel="0" collapsed="false">
      <c r="B17" s="6" t="s">
        <v>24</v>
      </c>
      <c r="C17" s="6" t="n">
        <v>1421</v>
      </c>
      <c r="D17" s="6" t="n">
        <v>801</v>
      </c>
    </row>
    <row r="18" customFormat="false" ht="15" hidden="false" customHeight="false" outlineLevel="0" collapsed="false">
      <c r="B18" s="6" t="s">
        <v>25</v>
      </c>
      <c r="C18" s="6" t="n">
        <v>8291</v>
      </c>
      <c r="D18" s="6" t="n">
        <v>4637</v>
      </c>
    </row>
  </sheetData>
  <mergeCells count="3">
    <mergeCell ref="B2:G2"/>
    <mergeCell ref="B3:G3"/>
    <mergeCell ref="B14:G14"/>
  </mergeCells>
  <conditionalFormatting sqref="F6:F12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4"/>
  </cols>
  <sheetData>
    <row r="2" customFormat="false" ht="18.55" hidden="false" customHeight="false" outlineLevel="0" collapsed="false">
      <c r="B2" s="1" t="s">
        <v>26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27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28</v>
      </c>
      <c r="C5" s="4" t="s">
        <v>29</v>
      </c>
      <c r="D5" s="4" t="s">
        <v>30</v>
      </c>
      <c r="E5" s="4" t="s">
        <v>31</v>
      </c>
      <c r="F5" s="4" t="s">
        <v>32</v>
      </c>
    </row>
    <row r="6" customFormat="false" ht="15" hidden="false" customHeight="false" outlineLevel="0" collapsed="false">
      <c r="B6" s="6" t="n">
        <v>4</v>
      </c>
      <c r="C6" s="6" t="n">
        <v>82</v>
      </c>
      <c r="D6" s="6" t="n">
        <v>31</v>
      </c>
      <c r="E6" s="6" t="n">
        <v>0.068</v>
      </c>
      <c r="F6" s="6" t="s">
        <v>33</v>
      </c>
    </row>
    <row r="7" customFormat="false" ht="15" hidden="false" customHeight="false" outlineLevel="0" collapsed="false">
      <c r="B7" s="8" t="n">
        <v>5</v>
      </c>
      <c r="C7" s="8" t="n">
        <v>1288</v>
      </c>
      <c r="D7" s="8" t="n">
        <v>714</v>
      </c>
      <c r="E7" s="8" t="n">
        <v>0.039</v>
      </c>
      <c r="F7" s="8" t="s">
        <v>34</v>
      </c>
    </row>
    <row r="8" customFormat="false" ht="15" hidden="false" customHeight="false" outlineLevel="0" collapsed="false">
      <c r="B8" s="6" t="n">
        <v>6</v>
      </c>
      <c r="C8" s="6" t="n">
        <v>1326</v>
      </c>
      <c r="D8" s="6" t="n">
        <v>782</v>
      </c>
      <c r="E8" s="6" t="n">
        <v>0.044</v>
      </c>
      <c r="F8" s="6" t="s">
        <v>34</v>
      </c>
    </row>
    <row r="9" customFormat="false" ht="15" hidden="false" customHeight="false" outlineLevel="0" collapsed="false">
      <c r="B9" s="8" t="n">
        <v>7</v>
      </c>
      <c r="C9" s="8" t="n">
        <v>1322</v>
      </c>
      <c r="D9" s="8" t="n">
        <v>702</v>
      </c>
      <c r="E9" s="8" t="n">
        <v>0.046</v>
      </c>
      <c r="F9" s="8" t="s">
        <v>34</v>
      </c>
    </row>
    <row r="10" customFormat="false" ht="15" hidden="false" customHeight="false" outlineLevel="0" collapsed="false">
      <c r="B10" s="6" t="n">
        <v>8</v>
      </c>
      <c r="C10" s="6" t="n">
        <v>1322</v>
      </c>
      <c r="D10" s="6" t="n">
        <v>737</v>
      </c>
      <c r="E10" s="6" t="n">
        <v>0.046</v>
      </c>
      <c r="F10" s="6" t="s">
        <v>34</v>
      </c>
    </row>
    <row r="11" customFormat="false" ht="15" hidden="false" customHeight="false" outlineLevel="0" collapsed="false">
      <c r="B11" s="8" t="n">
        <v>9</v>
      </c>
      <c r="C11" s="8" t="n">
        <v>1325</v>
      </c>
      <c r="D11" s="8" t="n">
        <v>757</v>
      </c>
      <c r="E11" s="8" t="n">
        <v>0.047</v>
      </c>
      <c r="F11" s="8" t="s">
        <v>34</v>
      </c>
    </row>
    <row r="12" customFormat="false" ht="15" hidden="false" customHeight="false" outlineLevel="0" collapsed="false">
      <c r="B12" s="6" t="n">
        <v>10</v>
      </c>
      <c r="C12" s="6" t="n">
        <v>1945</v>
      </c>
      <c r="D12" s="6" t="n">
        <v>1115</v>
      </c>
      <c r="E12" s="6" t="n">
        <v>0.048</v>
      </c>
      <c r="F12" s="6" t="s">
        <v>34</v>
      </c>
    </row>
    <row r="14" customFormat="false" ht="15" hidden="false" customHeight="false" outlineLevel="0" collapsed="false">
      <c r="B14" s="10" t="s">
        <v>35</v>
      </c>
      <c r="C14" s="10"/>
      <c r="D14" s="10"/>
      <c r="E14" s="10"/>
      <c r="F14" s="10"/>
    </row>
    <row r="15" customFormat="false" ht="15" hidden="false" customHeight="false" outlineLevel="0" collapsed="false">
      <c r="B15" s="3" t="s">
        <v>36</v>
      </c>
      <c r="C15" s="4" t="s">
        <v>37</v>
      </c>
      <c r="D15" s="4" t="s">
        <v>38</v>
      </c>
    </row>
    <row r="16" customFormat="false" ht="15" hidden="false" customHeight="false" outlineLevel="0" collapsed="false">
      <c r="B16" s="6" t="n">
        <v>2</v>
      </c>
      <c r="C16" s="6" t="n">
        <v>280</v>
      </c>
      <c r="D16" s="6" t="n">
        <v>35.1</v>
      </c>
    </row>
    <row r="17" customFormat="false" ht="15" hidden="false" customHeight="false" outlineLevel="0" collapsed="false">
      <c r="B17" s="8" t="n">
        <v>3</v>
      </c>
      <c r="C17" s="8" t="n">
        <v>1492</v>
      </c>
      <c r="D17" s="8" t="n">
        <v>26.48</v>
      </c>
    </row>
    <row r="18" customFormat="false" ht="15" hidden="false" customHeight="false" outlineLevel="0" collapsed="false">
      <c r="B18" s="6" t="n">
        <v>4</v>
      </c>
      <c r="C18" s="6" t="n">
        <v>1562</v>
      </c>
      <c r="D18" s="6" t="n">
        <v>32.48</v>
      </c>
    </row>
    <row r="19" customFormat="false" ht="15" hidden="false" customHeight="false" outlineLevel="0" collapsed="false">
      <c r="B19" s="8" t="n">
        <v>5</v>
      </c>
      <c r="C19" s="8" t="n">
        <v>1422</v>
      </c>
      <c r="D19" s="8" t="n">
        <v>31.26</v>
      </c>
    </row>
    <row r="20" customFormat="false" ht="15" hidden="false" customHeight="false" outlineLevel="0" collapsed="false">
      <c r="B20" s="6" t="n">
        <v>6</v>
      </c>
      <c r="C20" s="6" t="n">
        <v>1460</v>
      </c>
      <c r="D20" s="6" t="n">
        <v>25.25</v>
      </c>
    </row>
    <row r="21" customFormat="false" ht="15" hidden="false" customHeight="false" outlineLevel="0" collapsed="false">
      <c r="B21" s="8" t="n">
        <v>7</v>
      </c>
      <c r="C21" s="8" t="n">
        <v>1514</v>
      </c>
      <c r="D21" s="8" t="n">
        <v>27.79</v>
      </c>
    </row>
    <row r="22" customFormat="false" ht="15" hidden="false" customHeight="false" outlineLevel="0" collapsed="false">
      <c r="B22" s="6" t="n">
        <v>8</v>
      </c>
      <c r="C22" s="6" t="n">
        <v>3660</v>
      </c>
      <c r="D22" s="6" t="n">
        <v>25</v>
      </c>
    </row>
    <row r="23" customFormat="false" ht="15" hidden="false" customHeight="false" outlineLevel="0" collapsed="false">
      <c r="B23" s="8" t="n">
        <v>9</v>
      </c>
      <c r="C23" s="8" t="n">
        <v>9250</v>
      </c>
      <c r="D23" s="8" t="n">
        <v>16.39</v>
      </c>
    </row>
    <row r="24" customFormat="false" ht="15" hidden="false" customHeight="false" outlineLevel="0" collapsed="false">
      <c r="B24" s="6" t="n">
        <v>10</v>
      </c>
      <c r="C24" s="6" t="n">
        <v>9258</v>
      </c>
      <c r="D24" s="6" t="n">
        <v>15.19</v>
      </c>
    </row>
  </sheetData>
  <mergeCells count="3">
    <mergeCell ref="B2:I2"/>
    <mergeCell ref="B3:I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4"/>
  </cols>
  <sheetData>
    <row r="2" customFormat="false" ht="18.55" hidden="false" customHeight="false" outlineLevel="0" collapsed="false">
      <c r="B2" s="1" t="s">
        <v>39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27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40</v>
      </c>
    </row>
    <row r="6" customFormat="false" ht="15" hidden="false" customHeight="false" outlineLevel="0" collapsed="false">
      <c r="B6" s="6" t="n">
        <v>11</v>
      </c>
      <c r="C6" s="6" t="n">
        <v>8293</v>
      </c>
      <c r="D6" s="6" t="n">
        <v>4635</v>
      </c>
      <c r="E6" s="6" t="n">
        <v>0.035</v>
      </c>
      <c r="F6" s="6" t="s">
        <v>41</v>
      </c>
      <c r="G6" s="6" t="n">
        <v>5000</v>
      </c>
    </row>
    <row r="7" customFormat="false" ht="15" hidden="false" customHeight="false" outlineLevel="0" collapsed="false">
      <c r="B7" s="8" t="n">
        <v>12</v>
      </c>
      <c r="C7" s="8" t="n">
        <v>8305</v>
      </c>
      <c r="D7" s="8" t="n">
        <v>4629</v>
      </c>
      <c r="E7" s="8" t="n">
        <v>0.03</v>
      </c>
      <c r="F7" s="8" t="s">
        <v>41</v>
      </c>
      <c r="G7" s="8" t="n">
        <v>5000</v>
      </c>
    </row>
    <row r="8" customFormat="false" ht="15" hidden="false" customHeight="false" outlineLevel="0" collapsed="false">
      <c r="B8" s="6" t="n">
        <v>13</v>
      </c>
      <c r="C8" s="6" t="n">
        <v>8296</v>
      </c>
      <c r="D8" s="6" t="n">
        <v>4553</v>
      </c>
      <c r="E8" s="6" t="n">
        <v>0.031</v>
      </c>
      <c r="F8" s="6" t="s">
        <v>41</v>
      </c>
      <c r="G8" s="6" t="n">
        <v>5000</v>
      </c>
    </row>
    <row r="9" customFormat="false" ht="15" hidden="false" customHeight="false" outlineLevel="0" collapsed="false">
      <c r="B9" s="8" t="n">
        <v>14</v>
      </c>
      <c r="C9" s="8" t="n">
        <v>8270</v>
      </c>
      <c r="D9" s="8" t="n">
        <v>4768</v>
      </c>
      <c r="E9" s="8" t="n">
        <v>0.033</v>
      </c>
      <c r="F9" s="8" t="s">
        <v>41</v>
      </c>
      <c r="G9" s="8" t="n">
        <v>5000</v>
      </c>
    </row>
    <row r="10" customFormat="false" ht="15" hidden="false" customHeight="false" outlineLevel="0" collapsed="false">
      <c r="B10" s="6" t="n">
        <v>15</v>
      </c>
      <c r="C10" s="6" t="n">
        <v>8278</v>
      </c>
      <c r="D10" s="6" t="n">
        <v>4556</v>
      </c>
      <c r="E10" s="6" t="n">
        <v>0.033</v>
      </c>
      <c r="F10" s="6" t="s">
        <v>41</v>
      </c>
      <c r="G10" s="6" t="n">
        <v>5000</v>
      </c>
    </row>
    <row r="11" customFormat="false" ht="15" hidden="false" customHeight="false" outlineLevel="0" collapsed="false">
      <c r="B11" s="8" t="n">
        <v>16</v>
      </c>
      <c r="C11" s="8" t="n">
        <v>8289</v>
      </c>
      <c r="D11" s="8" t="n">
        <v>4629</v>
      </c>
      <c r="E11" s="8" t="n">
        <v>0.034</v>
      </c>
      <c r="F11" s="8" t="s">
        <v>41</v>
      </c>
      <c r="G11" s="8" t="n">
        <v>5000</v>
      </c>
    </row>
    <row r="12" customFormat="false" ht="15" hidden="false" customHeight="false" outlineLevel="0" collapsed="false">
      <c r="B12" s="6" t="n">
        <v>17</v>
      </c>
      <c r="C12" s="6" t="n">
        <v>8291</v>
      </c>
      <c r="D12" s="6" t="n">
        <v>4608</v>
      </c>
      <c r="E12" s="6" t="n">
        <v>0.034</v>
      </c>
      <c r="F12" s="6" t="s">
        <v>41</v>
      </c>
      <c r="G12" s="6" t="n">
        <v>5000</v>
      </c>
    </row>
    <row r="13" customFormat="false" ht="15" hidden="false" customHeight="false" outlineLevel="0" collapsed="false">
      <c r="B13" s="8" t="n">
        <v>18</v>
      </c>
      <c r="C13" s="8" t="n">
        <v>8279</v>
      </c>
      <c r="D13" s="8" t="n">
        <v>4666</v>
      </c>
      <c r="E13" s="8" t="n">
        <v>0.035</v>
      </c>
      <c r="F13" s="8" t="s">
        <v>41</v>
      </c>
      <c r="G13" s="8" t="n">
        <v>5000</v>
      </c>
    </row>
    <row r="14" customFormat="false" ht="15" hidden="false" customHeight="false" outlineLevel="0" collapsed="false">
      <c r="B14" s="6" t="n">
        <v>19</v>
      </c>
      <c r="C14" s="6" t="n">
        <v>8288</v>
      </c>
      <c r="D14" s="6" t="n">
        <v>4660</v>
      </c>
      <c r="E14" s="6" t="n">
        <v>0.032</v>
      </c>
      <c r="F14" s="6" t="s">
        <v>41</v>
      </c>
      <c r="G14" s="6" t="n">
        <v>5000</v>
      </c>
    </row>
    <row r="15" customFormat="false" ht="15" hidden="false" customHeight="false" outlineLevel="0" collapsed="false">
      <c r="B15" s="8" t="n">
        <v>20</v>
      </c>
      <c r="C15" s="8" t="n">
        <v>8298</v>
      </c>
      <c r="D15" s="8" t="n">
        <v>4556</v>
      </c>
      <c r="E15" s="8" t="n">
        <v>0.03</v>
      </c>
      <c r="F15" s="8" t="s">
        <v>41</v>
      </c>
      <c r="G15" s="8" t="n">
        <v>5000</v>
      </c>
    </row>
    <row r="16" customFormat="false" ht="15" hidden="false" customHeight="false" outlineLevel="0" collapsed="false">
      <c r="B16" s="6" t="n">
        <v>21</v>
      </c>
      <c r="C16" s="6" t="n">
        <v>8283</v>
      </c>
      <c r="D16" s="6" t="n">
        <v>4743</v>
      </c>
      <c r="E16" s="6" t="n">
        <v>0.032</v>
      </c>
      <c r="F16" s="6" t="s">
        <v>41</v>
      </c>
      <c r="G16" s="6" t="n">
        <v>5000</v>
      </c>
    </row>
    <row r="17" customFormat="false" ht="15" hidden="false" customHeight="false" outlineLevel="0" collapsed="false">
      <c r="B17" s="8" t="n">
        <v>22</v>
      </c>
      <c r="C17" s="8" t="n">
        <v>8275</v>
      </c>
      <c r="D17" s="8" t="n">
        <v>4647</v>
      </c>
      <c r="E17" s="8" t="n">
        <v>0.032</v>
      </c>
      <c r="F17" s="8" t="s">
        <v>41</v>
      </c>
      <c r="G17" s="8" t="n">
        <v>5000</v>
      </c>
    </row>
    <row r="18" customFormat="false" ht="15" hidden="false" customHeight="false" outlineLevel="0" collapsed="false">
      <c r="B18" s="6" t="n">
        <v>23</v>
      </c>
      <c r="C18" s="6" t="n">
        <v>8317</v>
      </c>
      <c r="D18" s="6" t="n">
        <v>4534</v>
      </c>
      <c r="E18" s="6" t="n">
        <v>0.031</v>
      </c>
      <c r="F18" s="6" t="s">
        <v>41</v>
      </c>
      <c r="G18" s="6" t="n">
        <v>5000</v>
      </c>
    </row>
    <row r="19" customFormat="false" ht="15" hidden="false" customHeight="false" outlineLevel="0" collapsed="false">
      <c r="B19" s="8" t="n">
        <v>24</v>
      </c>
      <c r="C19" s="8" t="n">
        <v>8297</v>
      </c>
      <c r="D19" s="8" t="n">
        <v>4695</v>
      </c>
      <c r="E19" s="8" t="n">
        <v>0.033</v>
      </c>
      <c r="F19" s="8" t="s">
        <v>41</v>
      </c>
      <c r="G19" s="8" t="n">
        <v>5000</v>
      </c>
    </row>
    <row r="20" customFormat="false" ht="15" hidden="false" customHeight="false" outlineLevel="0" collapsed="false">
      <c r="B20" s="6" t="n">
        <v>25</v>
      </c>
      <c r="C20" s="6" t="n">
        <v>8273</v>
      </c>
      <c r="D20" s="6" t="n">
        <v>4708</v>
      </c>
      <c r="E20" s="6" t="n">
        <v>0.034</v>
      </c>
      <c r="F20" s="6" t="s">
        <v>41</v>
      </c>
      <c r="G20" s="6" t="n">
        <v>5000</v>
      </c>
    </row>
    <row r="21" customFormat="false" ht="15" hidden="false" customHeight="false" outlineLevel="0" collapsed="false">
      <c r="B21" s="8" t="n">
        <v>26</v>
      </c>
      <c r="C21" s="8" t="n">
        <v>8303</v>
      </c>
      <c r="D21" s="8" t="n">
        <v>4766</v>
      </c>
      <c r="E21" s="8" t="n">
        <v>0.034</v>
      </c>
      <c r="F21" s="8" t="s">
        <v>41</v>
      </c>
      <c r="G21" s="8" t="n">
        <v>5000</v>
      </c>
    </row>
    <row r="22" customFormat="false" ht="15" hidden="false" customHeight="false" outlineLevel="0" collapsed="false">
      <c r="B22" s="6" t="n">
        <v>27</v>
      </c>
      <c r="C22" s="6" t="n">
        <v>8285</v>
      </c>
      <c r="D22" s="6" t="n">
        <v>4542</v>
      </c>
      <c r="E22" s="6" t="n">
        <v>0.034</v>
      </c>
      <c r="F22" s="6" t="s">
        <v>41</v>
      </c>
      <c r="G22" s="6" t="n">
        <v>5000</v>
      </c>
    </row>
    <row r="23" customFormat="false" ht="15" hidden="false" customHeight="false" outlineLevel="0" collapsed="false">
      <c r="B23" s="8" t="n">
        <v>28</v>
      </c>
      <c r="C23" s="8" t="n">
        <v>8299</v>
      </c>
      <c r="D23" s="8" t="n">
        <v>4662</v>
      </c>
      <c r="E23" s="8" t="n">
        <v>0.034</v>
      </c>
      <c r="F23" s="8" t="s">
        <v>41</v>
      </c>
      <c r="G23" s="8" t="n">
        <v>5000</v>
      </c>
    </row>
    <row r="24" customFormat="false" ht="15" hidden="false" customHeight="false" outlineLevel="0" collapsed="false">
      <c r="B24" s="6" t="n">
        <v>29</v>
      </c>
      <c r="C24" s="6" t="n">
        <v>8293</v>
      </c>
      <c r="D24" s="6" t="n">
        <v>4677</v>
      </c>
      <c r="E24" s="6" t="n">
        <v>0.033</v>
      </c>
      <c r="F24" s="6" t="s">
        <v>41</v>
      </c>
      <c r="G24" s="6" t="n">
        <v>5000</v>
      </c>
    </row>
    <row r="25" customFormat="false" ht="15" hidden="false" customHeight="false" outlineLevel="0" collapsed="false">
      <c r="B25" s="8" t="n">
        <v>30</v>
      </c>
      <c r="C25" s="8" t="n">
        <v>8306</v>
      </c>
      <c r="D25" s="8" t="n">
        <v>4652</v>
      </c>
      <c r="E25" s="8" t="n">
        <v>0.032</v>
      </c>
      <c r="F25" s="8" t="s">
        <v>41</v>
      </c>
      <c r="G25" s="8" t="n">
        <v>5000</v>
      </c>
    </row>
    <row r="26" customFormat="false" ht="15" hidden="false" customHeight="false" outlineLevel="0" collapsed="false">
      <c r="B26" s="6" t="n">
        <v>31</v>
      </c>
      <c r="C26" s="6" t="n">
        <v>8290</v>
      </c>
      <c r="D26" s="6" t="n">
        <v>4544</v>
      </c>
      <c r="E26" s="6" t="n">
        <v>0.032</v>
      </c>
      <c r="F26" s="6" t="s">
        <v>41</v>
      </c>
      <c r="G26" s="6" t="n">
        <v>5000</v>
      </c>
    </row>
    <row r="27" customFormat="false" ht="15" hidden="false" customHeight="false" outlineLevel="0" collapsed="false">
      <c r="B27" s="8" t="n">
        <v>32</v>
      </c>
      <c r="C27" s="8" t="n">
        <v>8291</v>
      </c>
      <c r="D27" s="8" t="n">
        <v>4616</v>
      </c>
      <c r="E27" s="8" t="n">
        <v>0.034</v>
      </c>
      <c r="F27" s="8" t="s">
        <v>41</v>
      </c>
      <c r="G27" s="8" t="n">
        <v>5000</v>
      </c>
    </row>
    <row r="28" customFormat="false" ht="15" hidden="false" customHeight="false" outlineLevel="0" collapsed="false">
      <c r="B28" s="6" t="n">
        <v>33</v>
      </c>
      <c r="C28" s="6" t="n">
        <v>8302</v>
      </c>
      <c r="D28" s="6" t="n">
        <v>4606</v>
      </c>
      <c r="E28" s="6" t="n">
        <v>0.033</v>
      </c>
      <c r="F28" s="6" t="s">
        <v>41</v>
      </c>
      <c r="G28" s="6" t="n">
        <v>5000</v>
      </c>
    </row>
    <row r="29" customFormat="false" ht="15" hidden="false" customHeight="false" outlineLevel="0" collapsed="false">
      <c r="B29" s="8" t="n">
        <v>34</v>
      </c>
      <c r="C29" s="8" t="n">
        <v>3934</v>
      </c>
      <c r="D29" s="8" t="n">
        <v>2286</v>
      </c>
      <c r="E29" s="8" t="n">
        <v>0.033</v>
      </c>
      <c r="F29" s="8" t="s">
        <v>42</v>
      </c>
      <c r="G29" s="8" t="n">
        <v>5000</v>
      </c>
    </row>
    <row r="31" customFormat="false" ht="15" hidden="false" customHeight="false" outlineLevel="0" collapsed="false">
      <c r="B31" s="10" t="s">
        <v>35</v>
      </c>
      <c r="C31" s="10"/>
      <c r="D31" s="10"/>
      <c r="E31" s="10"/>
      <c r="F31" s="10"/>
    </row>
    <row r="32" customFormat="false" ht="15" hidden="false" customHeight="false" outlineLevel="0" collapsed="false">
      <c r="B32" s="3" t="s">
        <v>36</v>
      </c>
      <c r="C32" s="4" t="s">
        <v>37</v>
      </c>
      <c r="D32" s="4" t="s">
        <v>38</v>
      </c>
    </row>
    <row r="33" customFormat="false" ht="15" hidden="false" customHeight="false" outlineLevel="0" collapsed="false">
      <c r="B33" s="6" t="n">
        <v>11</v>
      </c>
      <c r="C33" s="6" t="n">
        <v>9242</v>
      </c>
      <c r="D33" s="6" t="n">
        <v>15.85</v>
      </c>
    </row>
    <row r="34" customFormat="false" ht="15" hidden="false" customHeight="false" outlineLevel="0" collapsed="false">
      <c r="B34" s="8" t="n">
        <v>12</v>
      </c>
      <c r="C34" s="8" t="n">
        <v>9408</v>
      </c>
      <c r="D34" s="8" t="n">
        <v>15.4</v>
      </c>
    </row>
    <row r="35" customFormat="false" ht="15" hidden="false" customHeight="false" outlineLevel="0" collapsed="false">
      <c r="B35" s="6" t="n">
        <v>13</v>
      </c>
      <c r="C35" s="6" t="n">
        <v>9182</v>
      </c>
      <c r="D35" s="6" t="n">
        <v>16.81</v>
      </c>
    </row>
    <row r="36" customFormat="false" ht="15" hidden="false" customHeight="false" outlineLevel="0" collapsed="false">
      <c r="B36" s="8" t="n">
        <v>14</v>
      </c>
      <c r="C36" s="8" t="n">
        <v>9216</v>
      </c>
      <c r="D36" s="8" t="n">
        <v>15.86</v>
      </c>
    </row>
    <row r="37" customFormat="false" ht="15" hidden="false" customHeight="false" outlineLevel="0" collapsed="false">
      <c r="B37" s="6" t="n">
        <v>15</v>
      </c>
      <c r="C37" s="6" t="n">
        <v>9260</v>
      </c>
      <c r="D37" s="6" t="n">
        <v>14.92</v>
      </c>
    </row>
    <row r="38" customFormat="false" ht="15" hidden="false" customHeight="false" outlineLevel="0" collapsed="false">
      <c r="B38" s="8" t="n">
        <v>16</v>
      </c>
      <c r="C38" s="8" t="n">
        <v>9322</v>
      </c>
      <c r="D38" s="8" t="n">
        <v>15.72</v>
      </c>
    </row>
    <row r="39" customFormat="false" ht="15" hidden="false" customHeight="false" outlineLevel="0" collapsed="false">
      <c r="B39" s="6" t="n">
        <v>17</v>
      </c>
      <c r="C39" s="6" t="n">
        <v>9334</v>
      </c>
      <c r="D39" s="6" t="n">
        <v>14.42</v>
      </c>
    </row>
    <row r="40" customFormat="false" ht="15" hidden="false" customHeight="false" outlineLevel="0" collapsed="false">
      <c r="B40" s="8" t="n">
        <v>18</v>
      </c>
      <c r="C40" s="8" t="n">
        <v>9198</v>
      </c>
      <c r="D40" s="8" t="n">
        <v>14.99</v>
      </c>
    </row>
    <row r="41" customFormat="false" ht="15" hidden="false" customHeight="false" outlineLevel="0" collapsed="false">
      <c r="B41" s="6" t="n">
        <v>19</v>
      </c>
      <c r="C41" s="6" t="n">
        <v>9334</v>
      </c>
      <c r="D41" s="6" t="n">
        <v>15.37</v>
      </c>
    </row>
    <row r="42" customFormat="false" ht="15" hidden="false" customHeight="false" outlineLevel="0" collapsed="false">
      <c r="B42" s="8" t="n">
        <v>20</v>
      </c>
      <c r="C42" s="8" t="n">
        <v>9208</v>
      </c>
      <c r="D42" s="8" t="n">
        <v>13.4</v>
      </c>
    </row>
    <row r="43" customFormat="false" ht="15" hidden="false" customHeight="false" outlineLevel="0" collapsed="false">
      <c r="B43" s="6" t="n">
        <v>21</v>
      </c>
      <c r="C43" s="6" t="n">
        <v>9172</v>
      </c>
      <c r="D43" s="6" t="n">
        <v>14.36</v>
      </c>
    </row>
    <row r="44" customFormat="false" ht="15" hidden="false" customHeight="false" outlineLevel="0" collapsed="false">
      <c r="B44" s="8" t="n">
        <v>22</v>
      </c>
      <c r="C44" s="8" t="n">
        <v>9450</v>
      </c>
      <c r="D44" s="8" t="n">
        <v>13.26</v>
      </c>
    </row>
    <row r="45" customFormat="false" ht="15" hidden="false" customHeight="false" outlineLevel="0" collapsed="false">
      <c r="B45" s="6" t="n">
        <v>23</v>
      </c>
      <c r="C45" s="6" t="n">
        <v>9506</v>
      </c>
      <c r="D45" s="6" t="n">
        <v>15.81</v>
      </c>
    </row>
    <row r="46" customFormat="false" ht="15" hidden="false" customHeight="false" outlineLevel="0" collapsed="false">
      <c r="B46" s="8" t="n">
        <v>24</v>
      </c>
      <c r="C46" s="8" t="n">
        <v>9376</v>
      </c>
      <c r="D46" s="8" t="n">
        <v>14.77</v>
      </c>
    </row>
    <row r="47" customFormat="false" ht="15" hidden="false" customHeight="false" outlineLevel="0" collapsed="false">
      <c r="B47" s="6" t="n">
        <v>25</v>
      </c>
      <c r="C47" s="6" t="n">
        <v>9086</v>
      </c>
      <c r="D47" s="6" t="n">
        <v>13.95</v>
      </c>
    </row>
    <row r="48" customFormat="false" ht="15" hidden="false" customHeight="false" outlineLevel="0" collapsed="false">
      <c r="B48" s="8" t="n">
        <v>26</v>
      </c>
      <c r="C48" s="8" t="n">
        <v>9416</v>
      </c>
      <c r="D48" s="8" t="n">
        <v>13.12</v>
      </c>
    </row>
    <row r="49" customFormat="false" ht="15" hidden="false" customHeight="false" outlineLevel="0" collapsed="false">
      <c r="B49" s="6" t="n">
        <v>27</v>
      </c>
      <c r="C49" s="6" t="n">
        <v>9260</v>
      </c>
      <c r="D49" s="6" t="n">
        <v>13.08</v>
      </c>
    </row>
    <row r="50" customFormat="false" ht="15" hidden="false" customHeight="false" outlineLevel="0" collapsed="false">
      <c r="B50" s="8" t="n">
        <v>28</v>
      </c>
      <c r="C50" s="8" t="n">
        <v>9264</v>
      </c>
      <c r="D50" s="8" t="n">
        <v>12.51</v>
      </c>
    </row>
    <row r="51" customFormat="false" ht="15" hidden="false" customHeight="false" outlineLevel="0" collapsed="false">
      <c r="B51" s="6" t="n">
        <v>29</v>
      </c>
      <c r="C51" s="6" t="n">
        <v>9206</v>
      </c>
      <c r="D51" s="6" t="n">
        <v>11.51</v>
      </c>
    </row>
    <row r="52" customFormat="false" ht="15" hidden="false" customHeight="false" outlineLevel="0" collapsed="false">
      <c r="B52" s="8" t="n">
        <v>30</v>
      </c>
      <c r="C52" s="8" t="n">
        <v>9036</v>
      </c>
      <c r="D52" s="8" t="n">
        <v>11.56</v>
      </c>
    </row>
    <row r="53" customFormat="false" ht="15" hidden="false" customHeight="false" outlineLevel="0" collapsed="false">
      <c r="B53" s="6" t="n">
        <v>31</v>
      </c>
      <c r="C53" s="6" t="n">
        <v>9490</v>
      </c>
      <c r="D53" s="6" t="n">
        <v>14.22</v>
      </c>
    </row>
    <row r="54" customFormat="false" ht="15" hidden="false" customHeight="false" outlineLevel="0" collapsed="false">
      <c r="B54" s="8" t="n">
        <v>32</v>
      </c>
      <c r="C54" s="8" t="n">
        <v>3912</v>
      </c>
      <c r="D54" s="8" t="n">
        <v>22.76</v>
      </c>
    </row>
    <row r="55" customFormat="false" ht="15" hidden="false" customHeight="false" outlineLevel="0" collapsed="false">
      <c r="B55" s="6" t="n">
        <v>33</v>
      </c>
      <c r="C55" s="6" t="n">
        <v>9460</v>
      </c>
      <c r="D55" s="6" t="n">
        <v>15.63</v>
      </c>
    </row>
    <row r="56" customFormat="false" ht="15" hidden="false" customHeight="false" outlineLevel="0" collapsed="false">
      <c r="B56" s="8" t="n">
        <v>34</v>
      </c>
      <c r="C56" s="8" t="n">
        <v>6262</v>
      </c>
      <c r="D56" s="8" t="n">
        <v>13.49</v>
      </c>
    </row>
    <row r="57" customFormat="false" ht="15" hidden="false" customHeight="false" outlineLevel="0" collapsed="false">
      <c r="B57" s="6" t="n">
        <v>35</v>
      </c>
      <c r="C57" s="6" t="n">
        <v>8184</v>
      </c>
      <c r="D57" s="6" t="n">
        <v>17.53</v>
      </c>
    </row>
    <row r="58" customFormat="false" ht="15" hidden="false" customHeight="false" outlineLevel="0" collapsed="false">
      <c r="B58" s="8" t="n">
        <v>36</v>
      </c>
      <c r="C58" s="8" t="n">
        <v>8734</v>
      </c>
      <c r="D58" s="8" t="n">
        <v>14.34</v>
      </c>
    </row>
    <row r="59" customFormat="false" ht="15" hidden="false" customHeight="false" outlineLevel="0" collapsed="false">
      <c r="B59" s="6" t="n">
        <v>37</v>
      </c>
      <c r="C59" s="6" t="n">
        <v>4352</v>
      </c>
      <c r="D59" s="6" t="n">
        <v>25.91</v>
      </c>
    </row>
    <row r="60" customFormat="false" ht="15" hidden="false" customHeight="false" outlineLevel="0" collapsed="false">
      <c r="B60" s="8" t="n">
        <v>38</v>
      </c>
      <c r="C60" s="8" t="n">
        <v>9234</v>
      </c>
      <c r="D60" s="8" t="n">
        <v>14.71</v>
      </c>
    </row>
    <row r="61" customFormat="false" ht="15" hidden="false" customHeight="false" outlineLevel="0" collapsed="false">
      <c r="B61" s="6" t="n">
        <v>39</v>
      </c>
      <c r="C61" s="6" t="n">
        <v>2946</v>
      </c>
      <c r="D61" s="6" t="n">
        <v>13.32</v>
      </c>
    </row>
    <row r="62" customFormat="false" ht="15" hidden="false" customHeight="false" outlineLevel="0" collapsed="false">
      <c r="B62" s="8" t="n">
        <v>40</v>
      </c>
      <c r="C62" s="8" t="n">
        <v>7614</v>
      </c>
      <c r="D62" s="8" t="n">
        <v>18.11</v>
      </c>
    </row>
    <row r="63" customFormat="false" ht="15" hidden="false" customHeight="false" outlineLevel="0" collapsed="false">
      <c r="B63" s="6" t="n">
        <v>41</v>
      </c>
      <c r="C63" s="6" t="n">
        <v>44</v>
      </c>
      <c r="D63" s="6" t="n">
        <v>24</v>
      </c>
    </row>
  </sheetData>
  <mergeCells count="3">
    <mergeCell ref="B2:I2"/>
    <mergeCell ref="B3:I3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2" customFormat="false" ht="18.55" hidden="false" customHeight="false" outlineLevel="0" collapsed="false">
      <c r="B2" s="1" t="s">
        <v>43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customFormat="false" ht="15" hidden="false" customHeight="false" outlineLevel="0" collapsed="false">
      <c r="B6" s="5" t="s">
        <v>7</v>
      </c>
      <c r="C6" s="6" t="n">
        <v>1328</v>
      </c>
      <c r="D6" s="6" t="n">
        <v>8230</v>
      </c>
      <c r="E6" s="6" t="s">
        <v>8</v>
      </c>
    </row>
    <row r="7" customFormat="false" ht="15" hidden="false" customHeight="false" outlineLevel="0" collapsed="false">
      <c r="B7" s="7" t="s">
        <v>9</v>
      </c>
      <c r="C7" s="8" t="n">
        <v>736</v>
      </c>
      <c r="D7" s="8" t="n">
        <v>4604</v>
      </c>
      <c r="E7" s="8" t="n">
        <v>5000</v>
      </c>
      <c r="F7" s="0" t="str">
        <f aca="false">IF(D7&gt;=E7,"CUMPLE","NO CUMPLE")</f>
        <v>NO CUMPLE</v>
      </c>
    </row>
    <row r="8" customFormat="false" ht="15" hidden="false" customHeight="false" outlineLevel="0" collapsed="false">
      <c r="B8" s="5" t="s">
        <v>10</v>
      </c>
      <c r="C8" s="6" t="n">
        <v>0.02</v>
      </c>
      <c r="D8" s="6" t="n">
        <v>0.023</v>
      </c>
      <c r="E8" s="6" t="n">
        <v>200</v>
      </c>
      <c r="F8" s="0" t="str">
        <f aca="false">IF(D8&lt;=E8,"CUMPLE","NO CUMPLE")</f>
        <v>CUMPLE</v>
      </c>
    </row>
    <row r="9" customFormat="false" ht="15" hidden="false" customHeight="false" outlineLevel="0" collapsed="false">
      <c r="B9" s="7" t="s">
        <v>11</v>
      </c>
      <c r="C9" s="8" t="n">
        <v>6.72</v>
      </c>
      <c r="D9" s="8" t="n">
        <v>6.6</v>
      </c>
      <c r="E9" s="8" t="n">
        <v>350</v>
      </c>
      <c r="F9" s="0" t="str">
        <f aca="false">IF(D9&lt;=E9,"CUMPLE","NO CUMPLE")</f>
        <v>CUMPLE</v>
      </c>
    </row>
    <row r="10" customFormat="false" ht="15" hidden="false" customHeight="false" outlineLevel="0" collapsed="false">
      <c r="B10" s="5" t="s">
        <v>12</v>
      </c>
      <c r="C10" s="6" t="n">
        <v>39272</v>
      </c>
      <c r="D10" s="6" t="n">
        <v>169232</v>
      </c>
      <c r="E10" s="6" t="s">
        <v>13</v>
      </c>
    </row>
    <row r="11" customFormat="false" ht="15" hidden="false" customHeight="false" outlineLevel="0" collapsed="false">
      <c r="B11" s="7" t="s">
        <v>14</v>
      </c>
      <c r="C11" s="8" t="n">
        <v>65.5</v>
      </c>
      <c r="D11" s="8" t="n">
        <v>94</v>
      </c>
      <c r="E11" s="8" t="s">
        <v>13</v>
      </c>
    </row>
    <row r="12" customFormat="false" ht="15" hidden="false" customHeight="false" outlineLevel="0" collapsed="false">
      <c r="B12" s="5" t="s">
        <v>15</v>
      </c>
      <c r="C12" s="6" t="s">
        <v>16</v>
      </c>
      <c r="D12" s="6" t="s">
        <v>16</v>
      </c>
      <c r="E12" s="6" t="s">
        <v>17</v>
      </c>
      <c r="F12" s="9" t="s">
        <v>18</v>
      </c>
    </row>
    <row r="14" customFormat="false" ht="15" hidden="false" customHeight="false" outlineLevel="0" collapsed="false">
      <c r="B14" s="10" t="s">
        <v>19</v>
      </c>
      <c r="C14" s="10"/>
      <c r="D14" s="10"/>
      <c r="E14" s="10"/>
      <c r="F14" s="10"/>
      <c r="G14" s="10"/>
    </row>
    <row r="15" customFormat="false" ht="15" hidden="false" customHeight="false" outlineLevel="0" collapsed="false">
      <c r="B15" s="5" t="s">
        <v>20</v>
      </c>
    </row>
    <row r="16" customFormat="false" ht="15" hidden="false" customHeight="false" outlineLevel="0" collapsed="false">
      <c r="B16" s="3" t="s">
        <v>21</v>
      </c>
      <c r="C16" s="4" t="s">
        <v>22</v>
      </c>
      <c r="D16" s="4" t="s">
        <v>23</v>
      </c>
    </row>
    <row r="17" customFormat="false" ht="15" hidden="false" customHeight="false" outlineLevel="0" collapsed="false">
      <c r="B17" s="6" t="s">
        <v>24</v>
      </c>
      <c r="C17" s="6" t="n">
        <v>1328</v>
      </c>
      <c r="D17" s="6" t="n">
        <v>736</v>
      </c>
    </row>
    <row r="18" customFormat="false" ht="15" hidden="false" customHeight="false" outlineLevel="0" collapsed="false">
      <c r="B18" s="6" t="s">
        <v>25</v>
      </c>
      <c r="C18" s="6" t="n">
        <v>8230</v>
      </c>
      <c r="D18" s="6" t="n">
        <v>4604</v>
      </c>
    </row>
  </sheetData>
  <mergeCells count="3">
    <mergeCell ref="B2:G2"/>
    <mergeCell ref="B3:G3"/>
    <mergeCell ref="B14:G14"/>
  </mergeCells>
  <conditionalFormatting sqref="F6:F12">
    <cfRule type="cellIs" priority="2" operator="equal" aboveAverage="0" equalAverage="0" bottom="0" percent="0" rank="0" text="" dxfId="0">
      <formula>"CUMPLE"</formula>
    </cfRule>
    <cfRule type="cellIs" priority="3" operator="equal" aboveAverage="0" equalAverage="0" bottom="0" percent="0" rank="0" text="" dxfId="1">
      <formula>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4"/>
  </cols>
  <sheetData>
    <row r="2" customFormat="false" ht="18.55" hidden="false" customHeight="false" outlineLevel="0" collapsed="false">
      <c r="B2" s="1" t="s">
        <v>44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27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28</v>
      </c>
      <c r="C5" s="4" t="s">
        <v>29</v>
      </c>
      <c r="D5" s="4" t="s">
        <v>30</v>
      </c>
      <c r="E5" s="4" t="s">
        <v>31</v>
      </c>
      <c r="F5" s="4" t="s">
        <v>32</v>
      </c>
    </row>
    <row r="6" customFormat="false" ht="15" hidden="false" customHeight="false" outlineLevel="0" collapsed="false">
      <c r="B6" s="6" t="n">
        <v>3</v>
      </c>
      <c r="C6" s="6" t="n">
        <v>242</v>
      </c>
      <c r="D6" s="6" t="n">
        <v>112</v>
      </c>
      <c r="E6" s="6" t="n">
        <v>0.016</v>
      </c>
      <c r="F6" s="6" t="s">
        <v>33</v>
      </c>
    </row>
    <row r="7" customFormat="false" ht="15" hidden="false" customHeight="false" outlineLevel="0" collapsed="false">
      <c r="B7" s="8" t="n">
        <v>4</v>
      </c>
      <c r="C7" s="8" t="n">
        <v>1326</v>
      </c>
      <c r="D7" s="8" t="n">
        <v>728</v>
      </c>
      <c r="E7" s="8" t="n">
        <v>0.016</v>
      </c>
      <c r="F7" s="8" t="s">
        <v>34</v>
      </c>
    </row>
    <row r="8" customFormat="false" ht="15" hidden="false" customHeight="false" outlineLevel="0" collapsed="false">
      <c r="B8" s="6" t="n">
        <v>5</v>
      </c>
      <c r="C8" s="6" t="n">
        <v>1333</v>
      </c>
      <c r="D8" s="6" t="n">
        <v>757</v>
      </c>
      <c r="E8" s="6" t="n">
        <v>0.018</v>
      </c>
      <c r="F8" s="6" t="s">
        <v>34</v>
      </c>
    </row>
    <row r="9" customFormat="false" ht="15" hidden="false" customHeight="false" outlineLevel="0" collapsed="false">
      <c r="B9" s="8" t="n">
        <v>6</v>
      </c>
      <c r="C9" s="8" t="n">
        <v>1325</v>
      </c>
      <c r="D9" s="8" t="n">
        <v>748</v>
      </c>
      <c r="E9" s="8" t="n">
        <v>0.019</v>
      </c>
      <c r="F9" s="8" t="s">
        <v>34</v>
      </c>
    </row>
    <row r="10" customFormat="false" ht="15" hidden="false" customHeight="false" outlineLevel="0" collapsed="false">
      <c r="B10" s="6" t="n">
        <v>7</v>
      </c>
      <c r="C10" s="6" t="n">
        <v>1332</v>
      </c>
      <c r="D10" s="6" t="n">
        <v>732</v>
      </c>
      <c r="E10" s="6" t="n">
        <v>0.02</v>
      </c>
      <c r="F10" s="6" t="s">
        <v>34</v>
      </c>
    </row>
    <row r="11" customFormat="false" ht="15" hidden="false" customHeight="false" outlineLevel="0" collapsed="false">
      <c r="B11" s="8" t="n">
        <v>8</v>
      </c>
      <c r="C11" s="8" t="n">
        <v>1327</v>
      </c>
      <c r="D11" s="8" t="n">
        <v>726</v>
      </c>
      <c r="E11" s="8" t="n">
        <v>0.02</v>
      </c>
      <c r="F11" s="8" t="s">
        <v>34</v>
      </c>
    </row>
    <row r="12" customFormat="false" ht="15" hidden="false" customHeight="false" outlineLevel="0" collapsed="false">
      <c r="B12" s="6" t="n">
        <v>9</v>
      </c>
      <c r="C12" s="6" t="n">
        <v>1324</v>
      </c>
      <c r="D12" s="6" t="n">
        <v>728</v>
      </c>
      <c r="E12" s="6" t="n">
        <v>0.02</v>
      </c>
      <c r="F12" s="6" t="s">
        <v>34</v>
      </c>
    </row>
    <row r="14" customFormat="false" ht="15" hidden="false" customHeight="false" outlineLevel="0" collapsed="false">
      <c r="B14" s="10" t="s">
        <v>35</v>
      </c>
      <c r="C14" s="10"/>
      <c r="D14" s="10"/>
      <c r="E14" s="10"/>
      <c r="F14" s="10"/>
    </row>
    <row r="15" customFormat="false" ht="15" hidden="false" customHeight="false" outlineLevel="0" collapsed="false">
      <c r="B15" s="3" t="s">
        <v>36</v>
      </c>
      <c r="C15" s="4" t="s">
        <v>37</v>
      </c>
      <c r="D15" s="4" t="s">
        <v>38</v>
      </c>
    </row>
    <row r="16" customFormat="false" ht="15" hidden="false" customHeight="false" outlineLevel="0" collapsed="false">
      <c r="B16" s="6" t="n">
        <v>1</v>
      </c>
      <c r="C16" s="6" t="n">
        <v>1084</v>
      </c>
      <c r="D16" s="6" t="n">
        <v>5.38</v>
      </c>
    </row>
    <row r="17" customFormat="false" ht="15" hidden="false" customHeight="false" outlineLevel="0" collapsed="false">
      <c r="B17" s="8" t="n">
        <v>2</v>
      </c>
      <c r="C17" s="8" t="n">
        <v>1476</v>
      </c>
      <c r="D17" s="8" t="n">
        <v>5.48</v>
      </c>
    </row>
    <row r="18" customFormat="false" ht="15" hidden="false" customHeight="false" outlineLevel="0" collapsed="false">
      <c r="B18" s="6" t="n">
        <v>3</v>
      </c>
      <c r="C18" s="6" t="n">
        <v>1614</v>
      </c>
      <c r="D18" s="6" t="n">
        <v>5.52</v>
      </c>
    </row>
    <row r="19" customFormat="false" ht="15" hidden="false" customHeight="false" outlineLevel="0" collapsed="false">
      <c r="B19" s="8" t="n">
        <v>4</v>
      </c>
      <c r="C19" s="8" t="n">
        <v>1360</v>
      </c>
      <c r="D19" s="8" t="n">
        <v>5.19</v>
      </c>
    </row>
    <row r="20" customFormat="false" ht="15" hidden="false" customHeight="false" outlineLevel="0" collapsed="false">
      <c r="B20" s="6" t="n">
        <v>5</v>
      </c>
      <c r="C20" s="6" t="n">
        <v>1504</v>
      </c>
      <c r="D20" s="6" t="n">
        <v>5.97</v>
      </c>
    </row>
    <row r="21" customFormat="false" ht="15" hidden="false" customHeight="false" outlineLevel="0" collapsed="false">
      <c r="B21" s="8" t="n">
        <v>6</v>
      </c>
      <c r="C21" s="8" t="n">
        <v>1422</v>
      </c>
      <c r="D21" s="8" t="n">
        <v>6.44</v>
      </c>
    </row>
    <row r="22" customFormat="false" ht="15" hidden="false" customHeight="false" outlineLevel="0" collapsed="false">
      <c r="B22" s="6" t="n">
        <v>7</v>
      </c>
      <c r="C22" s="6" t="n">
        <v>2780</v>
      </c>
      <c r="D22" s="6" t="n">
        <v>6.61</v>
      </c>
    </row>
    <row r="23" customFormat="false" ht="15" hidden="false" customHeight="false" outlineLevel="0" collapsed="false">
      <c r="B23" s="8" t="n">
        <v>8</v>
      </c>
      <c r="C23" s="8" t="n">
        <v>9456</v>
      </c>
      <c r="D23" s="8" t="n">
        <v>6.85</v>
      </c>
    </row>
    <row r="24" customFormat="false" ht="15" hidden="false" customHeight="false" outlineLevel="0" collapsed="false">
      <c r="B24" s="6" t="n">
        <v>9</v>
      </c>
      <c r="C24" s="6" t="n">
        <v>9294</v>
      </c>
      <c r="D24" s="6" t="n">
        <v>7.29</v>
      </c>
    </row>
    <row r="25" customFormat="false" ht="15" hidden="false" customHeight="false" outlineLevel="0" collapsed="false">
      <c r="B25" s="8" t="n">
        <v>10</v>
      </c>
      <c r="C25" s="8" t="n">
        <v>9282</v>
      </c>
      <c r="D25" s="8" t="n">
        <v>6.87</v>
      </c>
    </row>
  </sheetData>
  <mergeCells count="3">
    <mergeCell ref="B2:I2"/>
    <mergeCell ref="B3:I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4"/>
  </cols>
  <sheetData>
    <row r="2" customFormat="false" ht="18.55" hidden="false" customHeight="false" outlineLevel="0" collapsed="false">
      <c r="B2" s="1" t="s">
        <v>45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27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40</v>
      </c>
    </row>
    <row r="6" customFormat="false" ht="15" hidden="false" customHeight="false" outlineLevel="0" collapsed="false">
      <c r="B6" s="6" t="n">
        <v>10</v>
      </c>
      <c r="C6" s="6" t="n">
        <v>5130</v>
      </c>
      <c r="D6" s="6" t="n">
        <v>2943</v>
      </c>
      <c r="E6" s="6" t="n">
        <v>0.02</v>
      </c>
      <c r="F6" s="6" t="s">
        <v>42</v>
      </c>
      <c r="G6" s="6" t="n">
        <v>5000</v>
      </c>
    </row>
    <row r="7" customFormat="false" ht="15" hidden="false" customHeight="false" outlineLevel="0" collapsed="false">
      <c r="B7" s="8" t="n">
        <v>11</v>
      </c>
      <c r="C7" s="8" t="n">
        <v>8321</v>
      </c>
      <c r="D7" s="8" t="n">
        <v>4643</v>
      </c>
      <c r="E7" s="8" t="n">
        <v>0.017</v>
      </c>
      <c r="F7" s="8" t="s">
        <v>41</v>
      </c>
      <c r="G7" s="8" t="n">
        <v>5000</v>
      </c>
    </row>
    <row r="8" customFormat="false" ht="15" hidden="false" customHeight="false" outlineLevel="0" collapsed="false">
      <c r="B8" s="6" t="n">
        <v>12</v>
      </c>
      <c r="C8" s="6" t="n">
        <v>8300</v>
      </c>
      <c r="D8" s="6" t="n">
        <v>4703</v>
      </c>
      <c r="E8" s="6" t="n">
        <v>0.019</v>
      </c>
      <c r="F8" s="6" t="s">
        <v>41</v>
      </c>
      <c r="G8" s="6" t="n">
        <v>5000</v>
      </c>
    </row>
    <row r="9" customFormat="false" ht="15" hidden="false" customHeight="false" outlineLevel="0" collapsed="false">
      <c r="B9" s="8" t="n">
        <v>13</v>
      </c>
      <c r="C9" s="8" t="n">
        <v>8321</v>
      </c>
      <c r="D9" s="8" t="n">
        <v>4668</v>
      </c>
      <c r="E9" s="8" t="n">
        <v>0.019</v>
      </c>
      <c r="F9" s="8" t="s">
        <v>41</v>
      </c>
      <c r="G9" s="8" t="n">
        <v>5000</v>
      </c>
    </row>
    <row r="10" customFormat="false" ht="15" hidden="false" customHeight="false" outlineLevel="0" collapsed="false">
      <c r="B10" s="6" t="n">
        <v>14</v>
      </c>
      <c r="C10" s="6" t="n">
        <v>8304</v>
      </c>
      <c r="D10" s="6" t="n">
        <v>4548</v>
      </c>
      <c r="E10" s="6" t="n">
        <v>0.019</v>
      </c>
      <c r="F10" s="6" t="s">
        <v>41</v>
      </c>
      <c r="G10" s="6" t="n">
        <v>5000</v>
      </c>
    </row>
    <row r="11" customFormat="false" ht="15" hidden="false" customHeight="false" outlineLevel="0" collapsed="false">
      <c r="B11" s="8" t="n">
        <v>15</v>
      </c>
      <c r="C11" s="8" t="n">
        <v>8316</v>
      </c>
      <c r="D11" s="8" t="n">
        <v>4721</v>
      </c>
      <c r="E11" s="8" t="n">
        <v>0.019</v>
      </c>
      <c r="F11" s="8" t="s">
        <v>41</v>
      </c>
      <c r="G11" s="8" t="n">
        <v>5000</v>
      </c>
    </row>
    <row r="12" customFormat="false" ht="15" hidden="false" customHeight="false" outlineLevel="0" collapsed="false">
      <c r="B12" s="6" t="n">
        <v>16</v>
      </c>
      <c r="C12" s="6" t="n">
        <v>8303</v>
      </c>
      <c r="D12" s="6" t="n">
        <v>4759</v>
      </c>
      <c r="E12" s="6" t="n">
        <v>0.019</v>
      </c>
      <c r="F12" s="6" t="s">
        <v>41</v>
      </c>
      <c r="G12" s="6" t="n">
        <v>5000</v>
      </c>
    </row>
    <row r="13" customFormat="false" ht="15" hidden="false" customHeight="false" outlineLevel="0" collapsed="false">
      <c r="B13" s="8" t="n">
        <v>17</v>
      </c>
      <c r="C13" s="8" t="n">
        <v>8310</v>
      </c>
      <c r="D13" s="8" t="n">
        <v>4684</v>
      </c>
      <c r="E13" s="8" t="n">
        <v>0.02</v>
      </c>
      <c r="F13" s="8" t="s">
        <v>41</v>
      </c>
      <c r="G13" s="8" t="n">
        <v>5000</v>
      </c>
    </row>
    <row r="14" customFormat="false" ht="15" hidden="false" customHeight="false" outlineLevel="0" collapsed="false">
      <c r="B14" s="6" t="n">
        <v>18</v>
      </c>
      <c r="C14" s="6" t="n">
        <v>8309</v>
      </c>
      <c r="D14" s="6" t="n">
        <v>4612</v>
      </c>
      <c r="E14" s="6" t="n">
        <v>0.02</v>
      </c>
      <c r="F14" s="6" t="s">
        <v>41</v>
      </c>
      <c r="G14" s="6" t="n">
        <v>5000</v>
      </c>
    </row>
    <row r="15" customFormat="false" ht="15" hidden="false" customHeight="false" outlineLevel="0" collapsed="false">
      <c r="B15" s="8" t="n">
        <v>19</v>
      </c>
      <c r="C15" s="8" t="n">
        <v>8330</v>
      </c>
      <c r="D15" s="8" t="n">
        <v>4682</v>
      </c>
      <c r="E15" s="8" t="n">
        <v>0.021</v>
      </c>
      <c r="F15" s="8" t="s">
        <v>41</v>
      </c>
      <c r="G15" s="8" t="n">
        <v>5000</v>
      </c>
    </row>
    <row r="16" customFormat="false" ht="15" hidden="false" customHeight="false" outlineLevel="0" collapsed="false">
      <c r="B16" s="6" t="n">
        <v>20</v>
      </c>
      <c r="C16" s="6" t="n">
        <v>8293</v>
      </c>
      <c r="D16" s="6" t="n">
        <v>4777</v>
      </c>
      <c r="E16" s="6" t="n">
        <v>0.021</v>
      </c>
      <c r="F16" s="6" t="s">
        <v>41</v>
      </c>
      <c r="G16" s="6" t="n">
        <v>5000</v>
      </c>
    </row>
    <row r="17" customFormat="false" ht="15" hidden="false" customHeight="false" outlineLevel="0" collapsed="false">
      <c r="B17" s="8" t="n">
        <v>21</v>
      </c>
      <c r="C17" s="8" t="n">
        <v>8311</v>
      </c>
      <c r="D17" s="8" t="n">
        <v>4573</v>
      </c>
      <c r="E17" s="8" t="n">
        <v>0.021</v>
      </c>
      <c r="F17" s="8" t="s">
        <v>41</v>
      </c>
      <c r="G17" s="8" t="n">
        <v>5000</v>
      </c>
    </row>
    <row r="18" customFormat="false" ht="15" hidden="false" customHeight="false" outlineLevel="0" collapsed="false">
      <c r="B18" s="6" t="n">
        <v>22</v>
      </c>
      <c r="C18" s="6" t="n">
        <v>8313</v>
      </c>
      <c r="D18" s="6" t="n">
        <v>4594</v>
      </c>
      <c r="E18" s="6" t="n">
        <v>0.019</v>
      </c>
      <c r="F18" s="6" t="s">
        <v>41</v>
      </c>
      <c r="G18" s="6" t="n">
        <v>5000</v>
      </c>
    </row>
    <row r="19" customFormat="false" ht="15" hidden="false" customHeight="false" outlineLevel="0" collapsed="false">
      <c r="B19" s="8" t="n">
        <v>23</v>
      </c>
      <c r="C19" s="8" t="n">
        <v>8308</v>
      </c>
      <c r="D19" s="8" t="n">
        <v>4680</v>
      </c>
      <c r="E19" s="8" t="n">
        <v>0.019</v>
      </c>
      <c r="F19" s="8" t="s">
        <v>41</v>
      </c>
      <c r="G19" s="8" t="n">
        <v>5000</v>
      </c>
    </row>
    <row r="20" customFormat="false" ht="15" hidden="false" customHeight="false" outlineLevel="0" collapsed="false">
      <c r="B20" s="6" t="n">
        <v>24</v>
      </c>
      <c r="C20" s="6" t="n">
        <v>8312</v>
      </c>
      <c r="D20" s="6" t="n">
        <v>4548</v>
      </c>
      <c r="E20" s="6" t="n">
        <v>0.018</v>
      </c>
      <c r="F20" s="6" t="s">
        <v>41</v>
      </c>
      <c r="G20" s="6" t="n">
        <v>5000</v>
      </c>
    </row>
    <row r="21" customFormat="false" ht="15" hidden="false" customHeight="false" outlineLevel="0" collapsed="false">
      <c r="B21" s="8" t="n">
        <v>25</v>
      </c>
      <c r="C21" s="8" t="n">
        <v>8306</v>
      </c>
      <c r="D21" s="8" t="n">
        <v>4670</v>
      </c>
      <c r="E21" s="8" t="n">
        <v>0.019</v>
      </c>
      <c r="F21" s="8" t="s">
        <v>41</v>
      </c>
      <c r="G21" s="8" t="n">
        <v>5000</v>
      </c>
    </row>
    <row r="22" customFormat="false" ht="15" hidden="false" customHeight="false" outlineLevel="0" collapsed="false">
      <c r="B22" s="6" t="n">
        <v>26</v>
      </c>
      <c r="C22" s="6" t="n">
        <v>8308</v>
      </c>
      <c r="D22" s="6" t="n">
        <v>4633</v>
      </c>
      <c r="E22" s="6" t="n">
        <v>0.019</v>
      </c>
      <c r="F22" s="6" t="s">
        <v>41</v>
      </c>
      <c r="G22" s="6" t="n">
        <v>5000</v>
      </c>
    </row>
    <row r="23" customFormat="false" ht="15" hidden="false" customHeight="false" outlineLevel="0" collapsed="false">
      <c r="B23" s="8" t="n">
        <v>27</v>
      </c>
      <c r="C23" s="8" t="n">
        <v>8312</v>
      </c>
      <c r="D23" s="8" t="n">
        <v>4596</v>
      </c>
      <c r="E23" s="8" t="n">
        <v>0.02</v>
      </c>
      <c r="F23" s="8" t="s">
        <v>41</v>
      </c>
      <c r="G23" s="8" t="n">
        <v>5000</v>
      </c>
    </row>
    <row r="24" customFormat="false" ht="15" hidden="false" customHeight="false" outlineLevel="0" collapsed="false">
      <c r="B24" s="6" t="n">
        <v>28</v>
      </c>
      <c r="C24" s="6" t="n">
        <v>8310</v>
      </c>
      <c r="D24" s="6" t="n">
        <v>4589</v>
      </c>
      <c r="E24" s="6" t="n">
        <v>0.02</v>
      </c>
      <c r="F24" s="6" t="s">
        <v>41</v>
      </c>
      <c r="G24" s="6" t="n">
        <v>5000</v>
      </c>
    </row>
    <row r="25" customFormat="false" ht="15" hidden="false" customHeight="false" outlineLevel="0" collapsed="false">
      <c r="B25" s="8" t="n">
        <v>29</v>
      </c>
      <c r="C25" s="8" t="n">
        <v>8313</v>
      </c>
      <c r="D25" s="8" t="n">
        <v>4729</v>
      </c>
      <c r="E25" s="8" t="n">
        <v>0.021</v>
      </c>
      <c r="F25" s="8" t="s">
        <v>41</v>
      </c>
      <c r="G25" s="8" t="n">
        <v>5000</v>
      </c>
    </row>
    <row r="26" customFormat="false" ht="15" hidden="false" customHeight="false" outlineLevel="0" collapsed="false">
      <c r="B26" s="6" t="n">
        <v>30</v>
      </c>
      <c r="C26" s="6" t="n">
        <v>8311</v>
      </c>
      <c r="D26" s="6" t="n">
        <v>4623</v>
      </c>
      <c r="E26" s="6" t="n">
        <v>0.02</v>
      </c>
      <c r="F26" s="6" t="s">
        <v>41</v>
      </c>
      <c r="G26" s="6" t="n">
        <v>5000</v>
      </c>
    </row>
    <row r="27" customFormat="false" ht="15" hidden="false" customHeight="false" outlineLevel="0" collapsed="false">
      <c r="B27" s="8" t="n">
        <v>31</v>
      </c>
      <c r="C27" s="8" t="n">
        <v>6695</v>
      </c>
      <c r="D27" s="8" t="n">
        <v>3729</v>
      </c>
      <c r="E27" s="8" t="n">
        <v>0.02</v>
      </c>
      <c r="F27" s="8" t="s">
        <v>41</v>
      </c>
      <c r="G27" s="8" t="n">
        <v>5000</v>
      </c>
    </row>
    <row r="28" customFormat="false" ht="15" hidden="false" customHeight="false" outlineLevel="0" collapsed="false">
      <c r="B28" s="6" t="n">
        <v>32</v>
      </c>
      <c r="C28" s="6" t="n">
        <v>8152</v>
      </c>
      <c r="D28" s="6" t="n">
        <v>4524</v>
      </c>
      <c r="E28" s="6" t="n">
        <v>0.023</v>
      </c>
      <c r="F28" s="6" t="s">
        <v>46</v>
      </c>
      <c r="G28" s="6" t="n">
        <v>5000</v>
      </c>
    </row>
    <row r="30" customFormat="false" ht="15" hidden="false" customHeight="false" outlineLevel="0" collapsed="false">
      <c r="B30" s="10" t="s">
        <v>35</v>
      </c>
      <c r="C30" s="10"/>
      <c r="D30" s="10"/>
      <c r="E30" s="10"/>
      <c r="F30" s="10"/>
    </row>
    <row r="31" customFormat="false" ht="15" hidden="false" customHeight="false" outlineLevel="0" collapsed="false">
      <c r="B31" s="3" t="s">
        <v>36</v>
      </c>
      <c r="C31" s="4" t="s">
        <v>37</v>
      </c>
      <c r="D31" s="4" t="s">
        <v>38</v>
      </c>
    </row>
    <row r="32" customFormat="false" ht="15" hidden="false" customHeight="false" outlineLevel="0" collapsed="false">
      <c r="B32" s="6" t="n">
        <v>11</v>
      </c>
      <c r="C32" s="6" t="n">
        <v>9328</v>
      </c>
      <c r="D32" s="6" t="n">
        <v>6.75</v>
      </c>
    </row>
    <row r="33" customFormat="false" ht="15" hidden="false" customHeight="false" outlineLevel="0" collapsed="false">
      <c r="B33" s="8" t="n">
        <v>12</v>
      </c>
      <c r="C33" s="8" t="n">
        <v>9208</v>
      </c>
      <c r="D33" s="8" t="n">
        <v>6.61</v>
      </c>
    </row>
    <row r="34" customFormat="false" ht="15" hidden="false" customHeight="false" outlineLevel="0" collapsed="false">
      <c r="B34" s="6" t="n">
        <v>13</v>
      </c>
      <c r="C34" s="6" t="n">
        <v>9480</v>
      </c>
      <c r="D34" s="6" t="n">
        <v>6.84</v>
      </c>
    </row>
    <row r="35" customFormat="false" ht="15" hidden="false" customHeight="false" outlineLevel="0" collapsed="false">
      <c r="B35" s="8" t="n">
        <v>14</v>
      </c>
      <c r="C35" s="8" t="n">
        <v>9552</v>
      </c>
      <c r="D35" s="8" t="n">
        <v>6.91</v>
      </c>
    </row>
    <row r="36" customFormat="false" ht="15" hidden="false" customHeight="false" outlineLevel="0" collapsed="false">
      <c r="B36" s="6" t="n">
        <v>15</v>
      </c>
      <c r="C36" s="6" t="n">
        <v>9140</v>
      </c>
      <c r="D36" s="6" t="n">
        <v>6.55</v>
      </c>
    </row>
    <row r="37" customFormat="false" ht="15" hidden="false" customHeight="false" outlineLevel="0" collapsed="false">
      <c r="B37" s="8" t="n">
        <v>16</v>
      </c>
      <c r="C37" s="8" t="n">
        <v>9406</v>
      </c>
      <c r="D37" s="8" t="n">
        <v>6.9</v>
      </c>
    </row>
    <row r="38" customFormat="false" ht="15" hidden="false" customHeight="false" outlineLevel="0" collapsed="false">
      <c r="B38" s="6" t="n">
        <v>17</v>
      </c>
      <c r="C38" s="6" t="n">
        <v>9582</v>
      </c>
      <c r="D38" s="6" t="n">
        <v>6.86</v>
      </c>
    </row>
    <row r="39" customFormat="false" ht="15" hidden="false" customHeight="false" outlineLevel="0" collapsed="false">
      <c r="B39" s="8" t="n">
        <v>18</v>
      </c>
      <c r="C39" s="8" t="n">
        <v>9148</v>
      </c>
      <c r="D39" s="8" t="n">
        <v>6.71</v>
      </c>
    </row>
    <row r="40" customFormat="false" ht="15" hidden="false" customHeight="false" outlineLevel="0" collapsed="false">
      <c r="B40" s="6" t="n">
        <v>19</v>
      </c>
      <c r="C40" s="6" t="n">
        <v>9162</v>
      </c>
      <c r="D40" s="6" t="n">
        <v>6.62</v>
      </c>
    </row>
    <row r="41" customFormat="false" ht="15" hidden="false" customHeight="false" outlineLevel="0" collapsed="false">
      <c r="B41" s="8" t="n">
        <v>20</v>
      </c>
      <c r="C41" s="8" t="n">
        <v>9288</v>
      </c>
      <c r="D41" s="8" t="n">
        <v>6.5</v>
      </c>
    </row>
    <row r="42" customFormat="false" ht="15" hidden="false" customHeight="false" outlineLevel="0" collapsed="false">
      <c r="B42" s="6" t="n">
        <v>21</v>
      </c>
      <c r="C42" s="6" t="n">
        <v>9270</v>
      </c>
      <c r="D42" s="6" t="n">
        <v>6.6</v>
      </c>
    </row>
    <row r="43" customFormat="false" ht="15" hidden="false" customHeight="false" outlineLevel="0" collapsed="false">
      <c r="B43" s="8" t="n">
        <v>22</v>
      </c>
      <c r="C43" s="8" t="n">
        <v>9320</v>
      </c>
      <c r="D43" s="8" t="n">
        <v>6.41</v>
      </c>
    </row>
    <row r="44" customFormat="false" ht="15" hidden="false" customHeight="false" outlineLevel="0" collapsed="false">
      <c r="B44" s="6" t="n">
        <v>23</v>
      </c>
      <c r="C44" s="6" t="n">
        <v>9194</v>
      </c>
      <c r="D44" s="6" t="n">
        <v>6.3</v>
      </c>
    </row>
    <row r="45" customFormat="false" ht="15" hidden="false" customHeight="false" outlineLevel="0" collapsed="false">
      <c r="B45" s="8" t="n">
        <v>24</v>
      </c>
      <c r="C45" s="8" t="n">
        <v>9078</v>
      </c>
      <c r="D45" s="8" t="n">
        <v>6.76</v>
      </c>
    </row>
    <row r="46" customFormat="false" ht="15" hidden="false" customHeight="false" outlineLevel="0" collapsed="false">
      <c r="B46" s="6" t="n">
        <v>25</v>
      </c>
      <c r="C46" s="6" t="n">
        <v>9358</v>
      </c>
      <c r="D46" s="6" t="n">
        <v>6.39</v>
      </c>
    </row>
    <row r="47" customFormat="false" ht="15" hidden="false" customHeight="false" outlineLevel="0" collapsed="false">
      <c r="B47" s="8" t="n">
        <v>26</v>
      </c>
      <c r="C47" s="8" t="n">
        <v>9350</v>
      </c>
      <c r="D47" s="8" t="n">
        <v>6.3</v>
      </c>
    </row>
    <row r="48" customFormat="false" ht="15" hidden="false" customHeight="false" outlineLevel="0" collapsed="false">
      <c r="B48" s="6" t="n">
        <v>27</v>
      </c>
      <c r="C48" s="6" t="n">
        <v>9402</v>
      </c>
      <c r="D48" s="6" t="n">
        <v>6.36</v>
      </c>
    </row>
    <row r="49" customFormat="false" ht="15" hidden="false" customHeight="false" outlineLevel="0" collapsed="false">
      <c r="B49" s="8" t="n">
        <v>28</v>
      </c>
      <c r="C49" s="8" t="n">
        <v>9200</v>
      </c>
      <c r="D49" s="8" t="n">
        <v>6.27</v>
      </c>
    </row>
    <row r="50" customFormat="false" ht="15" hidden="false" customHeight="false" outlineLevel="0" collapsed="false">
      <c r="B50" s="6" t="n">
        <v>29</v>
      </c>
      <c r="C50" s="6" t="n">
        <v>1732</v>
      </c>
      <c r="D50" s="6" t="n">
        <v>6.47</v>
      </c>
    </row>
    <row r="51" customFormat="false" ht="15" hidden="false" customHeight="false" outlineLevel="0" collapsed="false">
      <c r="B51" s="8" t="n">
        <v>46</v>
      </c>
      <c r="C51" s="8" t="n">
        <v>34</v>
      </c>
      <c r="D51" s="8" t="n">
        <v>249.65</v>
      </c>
    </row>
  </sheetData>
  <mergeCells count="3">
    <mergeCell ref="B2:I2"/>
    <mergeCell ref="B3:I3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2026-09-07T11:20:25Z</dcterms:created>
  <dc:creator>openpyxl</dc:creator>
  <dc:description/>
  <dc:language>en-US</dc:language>
  <cp:lastModifiedBy/>
  <dcterms:modified xsi:type="dcterms:W3CDTF">2026-09-07T11:20:33Z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